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enwal/Downloads/"/>
    </mc:Choice>
  </mc:AlternateContent>
  <xr:revisionPtr revIDLastSave="0" documentId="8_{2A09AFB9-3A83-2846-A812-E13876303377}" xr6:coauthVersionLast="47" xr6:coauthVersionMax="47" xr10:uidLastSave="{00000000-0000-0000-0000-000000000000}"/>
  <bookViews>
    <workbookView xWindow="2640" yWindow="1980" windowWidth="27240" windowHeight="16340" activeTab="3" xr2:uid="{CA8487A4-3B06-B44C-8478-F583EA0F8A28}"/>
  </bookViews>
  <sheets>
    <sheet name="Baseline" sheetId="3" r:id="rId1"/>
    <sheet name="Workshare" sheetId="4" r:id="rId2"/>
    <sheet name="QB Profile" sheetId="1" r:id="rId3"/>
    <sheet name="Order Form Table" sheetId="5" r:id="rId4"/>
  </sheets>
  <externalReferences>
    <externalReference r:id="rId5"/>
  </externalReferences>
  <definedNames>
    <definedName name="_xlnm._FilterDatabase" localSheetId="0" hidden="1">Baseline!$A$3:$G$63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5" l="1"/>
  <c r="E12" i="5" l="1"/>
  <c r="AE11" i="1"/>
  <c r="AF11" i="1" s="1"/>
  <c r="AE10" i="1"/>
  <c r="AF10" i="1" s="1"/>
  <c r="AE9" i="1"/>
  <c r="AF9" i="1" s="1"/>
  <c r="AE8" i="1"/>
  <c r="AF8" i="1" s="1"/>
  <c r="AE7" i="1"/>
  <c r="AF7" i="1" s="1"/>
  <c r="AE6" i="1"/>
  <c r="AF6" i="1" s="1"/>
  <c r="AE5" i="1"/>
  <c r="AF5" i="1" s="1"/>
  <c r="AE4" i="1"/>
  <c r="AF4" i="1" s="1"/>
  <c r="AE3" i="1"/>
  <c r="AF3" i="1" s="1"/>
  <c r="AG3" i="1" l="1"/>
  <c r="AF13" i="1"/>
  <c r="AG4" i="1"/>
  <c r="AG7" i="1"/>
  <c r="AG10" i="1"/>
  <c r="AG5" i="1"/>
  <c r="AG8" i="1"/>
  <c r="AG9" i="1"/>
  <c r="AG11" i="1"/>
  <c r="AG6" i="1"/>
  <c r="AJ13" i="1" l="1"/>
  <c r="AG13" i="1"/>
</calcChain>
</file>

<file path=xl/sharedStrings.xml><?xml version="1.0" encoding="utf-8"?>
<sst xmlns="http://schemas.openxmlformats.org/spreadsheetml/2006/main" count="374" uniqueCount="160">
  <si>
    <t>Mobilisation</t>
  </si>
  <si>
    <t>Implementation</t>
  </si>
  <si>
    <t>Transition</t>
  </si>
  <si>
    <t>#</t>
  </si>
  <si>
    <t>Role</t>
  </si>
  <si>
    <t>Lvl</t>
  </si>
  <si>
    <t>PHM Contract Role</t>
  </si>
  <si>
    <t>SFIA</t>
  </si>
  <si>
    <t>Notes</t>
  </si>
  <si>
    <t>SOW Milestone(s)</t>
  </si>
  <si>
    <t>Supplier</t>
  </si>
  <si>
    <t>Weighted Rate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</si>
  <si>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</si>
  <si>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</si>
  <si>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</si>
  <si>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</si>
  <si>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</si>
  <si>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</si>
  <si>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</si>
  <si>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</si>
  <si>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</si>
  <si>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</si>
  <si>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</si>
  <si>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</si>
  <si>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</si>
  <si>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</si>
  <si>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</si>
  <si>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</si>
  <si>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</si>
  <si>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</si>
  <si>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</si>
  <si>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</si>
  <si>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</si>
  <si>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</si>
  <si>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FTE Wks</t>
  </si>
  <si>
    <t>Days</t>
  </si>
  <si>
    <t>Forecast (£)</t>
  </si>
  <si>
    <t>Cost Rate/day</t>
  </si>
  <si>
    <t>Forecasted Cost</t>
  </si>
  <si>
    <t>Head of Product</t>
  </si>
  <si>
    <t>Lead Product Manager *</t>
  </si>
  <si>
    <t>Day-to-day prgramme lead, governance and ops</t>
  </si>
  <si>
    <t>MS00; PDG packs; TDA coord (all wkstrms)</t>
  </si>
  <si>
    <t>QB</t>
  </si>
  <si>
    <t>Portfolio Lead</t>
  </si>
  <si>
    <t>WP-QB1 Portfolio Management and Benefits Management</t>
  </si>
  <si>
    <t>MS00; PDG; benefits (all milestones)</t>
  </si>
  <si>
    <t>SD</t>
  </si>
  <si>
    <t>Lead Service Designer *</t>
  </si>
  <si>
    <t>WP-QB5</t>
  </si>
  <si>
    <t>MS08; design support W2–W7</t>
  </si>
  <si>
    <t>Prod Mgr</t>
  </si>
  <si>
    <t>MS03.1; MS08; user research support</t>
  </si>
  <si>
    <t>Translator</t>
  </si>
  <si>
    <t>Service Designer *</t>
  </si>
  <si>
    <t>Product/Delivery Mgr</t>
  </si>
  <si>
    <t>WP-QB3</t>
  </si>
  <si>
    <t>MS03.1; MS03.2</t>
  </si>
  <si>
    <t>Service/UX Designer</t>
  </si>
  <si>
    <t>DM</t>
  </si>
  <si>
    <t>M07.0; MS07.1-3.1–07.1-3.4</t>
  </si>
  <si>
    <t>Data Scientist</t>
  </si>
  <si>
    <t>Senior Data Scientist *</t>
  </si>
  <si>
    <t>WP-QB2 Modelling &amp; Analytics Defn.</t>
  </si>
  <si>
    <t>TOTAL</t>
  </si>
  <si>
    <t>SOW C365043  —  Team Profile  |  4.5 days/week  |  20 Jul – 19 Dec 2026  |  Baseline (v7 DRAFT)</t>
  </si>
  <si>
    <t>■ 1.0 FTE    &lt;1.0 FTE   □ not active   |   Kainos  QB  CGI</t>
  </si>
  <si>
    <t>20 Jul</t>
  </si>
  <si>
    <t>27 Jul</t>
  </si>
  <si>
    <t>03 Aug</t>
  </si>
  <si>
    <t>10 Aug</t>
  </si>
  <si>
    <t>17 Aug</t>
  </si>
  <si>
    <t>24 Aug</t>
  </si>
  <si>
    <t>31 Aug</t>
  </si>
  <si>
    <t>07 Sep</t>
  </si>
  <si>
    <t>14 Sep</t>
  </si>
  <si>
    <t>21 Sep</t>
  </si>
  <si>
    <t>28 Sep</t>
  </si>
  <si>
    <t>05 Oct</t>
  </si>
  <si>
    <t>12 Oct</t>
  </si>
  <si>
    <t>19 Oct</t>
  </si>
  <si>
    <t>26 Oct</t>
  </si>
  <si>
    <t>02 Nov</t>
  </si>
  <si>
    <t>09 Nov</t>
  </si>
  <si>
    <t>16 Nov</t>
  </si>
  <si>
    <t>23 Nov</t>
  </si>
  <si>
    <t>30 Nov</t>
  </si>
  <si>
    <t>07 Dec</t>
  </si>
  <si>
    <t>14 Dec</t>
  </si>
  <si>
    <t>Core</t>
  </si>
  <si>
    <t>W0 - Governance Team</t>
  </si>
  <si>
    <t>Principal Delivery Manager</t>
  </si>
  <si>
    <t>Programme Delivery Manager</t>
  </si>
  <si>
    <t>Kainos</t>
  </si>
  <si>
    <t>Security Arch/IG</t>
  </si>
  <si>
    <t>Lead Security Architect</t>
  </si>
  <si>
    <t>Governance and compliance, DPIAs etc.</t>
  </si>
  <si>
    <t>MS00; DPIAs × 7; DGG submissions</t>
  </si>
  <si>
    <t>QA Lead</t>
  </si>
  <si>
    <t>Lead Test Engineer</t>
  </si>
  <si>
    <t>Overall test principles, strategy and assurance</t>
  </si>
  <si>
    <t>All milestones — quality assurance</t>
  </si>
  <si>
    <t>CGI</t>
  </si>
  <si>
    <t>CSO</t>
  </si>
  <si>
    <t>Delivery Manager</t>
  </si>
  <si>
    <t>Clinical Safety Governance Placeholder</t>
  </si>
  <si>
    <t>TBD — Clinical Safety scope (W2, W6)</t>
  </si>
  <si>
    <t>?</t>
  </si>
  <si>
    <t>Design Pod</t>
  </si>
  <si>
    <t>Centralised Front-End Engineering Support (React)</t>
  </si>
  <si>
    <t>React FE Dev</t>
  </si>
  <si>
    <t>Lead Software Developer</t>
  </si>
  <si>
    <t>Augment other Workstreams and W7</t>
  </si>
  <si>
    <t>MS08 (W7 build)</t>
  </si>
  <si>
    <t>Track A</t>
  </si>
  <si>
    <t>W1, 3-5 Leadership of Track A Work</t>
  </si>
  <si>
    <t>Lead Product Manager</t>
  </si>
  <si>
    <t>We need product input into FDP deliverables</t>
  </si>
  <si>
    <t>MS02.1–02.2; MS04.1–04.3; MS05.01–05.03; MS06.1–06.4</t>
  </si>
  <si>
    <t>Solution Architect - FDP</t>
  </si>
  <si>
    <t>Senior Data Architect</t>
  </si>
  <si>
    <t>W1, 3-5 Focus</t>
  </si>
  <si>
    <t>MS02.1; MS04.1; MS05.01; MS06.1 (W1/3/4/5 arch)</t>
  </si>
  <si>
    <t>W1 Delivery - Tableau Reporting Migration</t>
  </si>
  <si>
    <t>BA</t>
  </si>
  <si>
    <t>Business Analyst</t>
  </si>
  <si>
    <t>Prioritisation of dashboards and analysis</t>
  </si>
  <si>
    <t>MS02.1; MS02.2</t>
  </si>
  <si>
    <t>FDE</t>
  </si>
  <si>
    <t>Senior Data Engineer</t>
  </si>
  <si>
    <t>Data Engineer</t>
  </si>
  <si>
    <t>W2 Delivery - MHA</t>
  </si>
  <si>
    <t>W3 Delivery - Workforce and Job Planning</t>
  </si>
  <si>
    <t>MS04.1; MS04.2; MS04.3</t>
  </si>
  <si>
    <t>Integration Engr</t>
  </si>
  <si>
    <t>QA</t>
  </si>
  <si>
    <t>Test Engineer</t>
  </si>
  <si>
    <t>MS04.2; MS04.3</t>
  </si>
  <si>
    <t>W4 Delivery - Suppliy Chain: Loan Equipment</t>
  </si>
  <si>
    <t>MS05.01; MS05.02; MS05.03</t>
  </si>
  <si>
    <t>W5 Delivery - Supply Chain: Inventory360</t>
  </si>
  <si>
    <t>Lead Data Engineer</t>
  </si>
  <si>
    <t>Risk as unknown</t>
  </si>
  <si>
    <t>MS06.1; MS06.2; MS06.4</t>
  </si>
  <si>
    <t>W7 Delivery - FDP Homepage</t>
  </si>
  <si>
    <t>Content Designer</t>
  </si>
  <si>
    <t>MS08</t>
  </si>
  <si>
    <t>Senior Software Developr</t>
  </si>
  <si>
    <t>Track B</t>
  </si>
  <si>
    <t>W6 Leadership</t>
  </si>
  <si>
    <t>W6 Focus</t>
  </si>
  <si>
    <t>M07.0; MS07.1-3.1–07.1-3.4 (W6 arch)</t>
  </si>
  <si>
    <t>W6a Delivery</t>
  </si>
  <si>
    <t>MS07.1.1; MS07.1.2; MS07.1.3; MS07.1.4</t>
  </si>
  <si>
    <t>W6b Delivery</t>
  </si>
  <si>
    <t>MS07.2.1; MS07.2.2; MS07.2.3; MS07.2.4</t>
  </si>
  <si>
    <t>W6c Delivery</t>
  </si>
  <si>
    <t>MS07.3.1; MS07.3.2; MS07.3.3; MS07.3.4</t>
  </si>
  <si>
    <t>Other</t>
  </si>
  <si>
    <t>Sub-Total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</si>
</sst>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£&quot;#,##0.00"/>
    <numFmt numFmtId="165" formatCode="&quot;£&quot;#,##0"/>
    <numFmt numFmtId="166" formatCode="0.0%"/>
    <numFmt numFmtId="167" formatCode="_-[$£-809]* #,##0.00_-;\-[$£-809]* #,##0.00_-;_-[$£-809]* &quot;-&quot;??_-;_-@_-"/>
  </numFmts>
  <fonts count="20">
    <font>
      <sz val="12"/>
      <color theme="1"/>
      <name val="Aptos Narrow"/>
      <family val="2"/>
      <scheme val="minor"/>
    </font>
    <font>
      <b/>
      <sz val="8"/>
      <color rgb="FFFFFFFF"/>
      <name val="Calibri"/>
      <family val="2"/>
    </font>
    <font>
      <sz val="9"/>
      <color rgb="FF000000"/>
      <name val="Calibri"/>
      <family val="2"/>
    </font>
    <font>
      <i/>
      <sz val="8"/>
      <color rgb="FF1F5C2E"/>
      <name val="Calibri"/>
      <family val="2"/>
    </font>
    <font>
      <sz val="8"/>
      <color theme="1"/>
      <name val="Calibri (Body)"/>
    </font>
    <font>
      <sz val="7"/>
      <color rgb="FF1F3864"/>
      <name val="Calibri"/>
      <family val="2"/>
    </font>
    <font>
      <sz val="9"/>
      <color rgb="FF375623"/>
      <name val="Calibri"/>
      <family val="2"/>
    </font>
    <font>
      <b/>
      <sz val="7"/>
      <color rgb="FFFFFFFF"/>
      <name val="Calibri"/>
      <family val="2"/>
    </font>
    <font>
      <sz val="7"/>
      <color rgb="FF000000"/>
      <name val="Calibri"/>
      <family val="2"/>
    </font>
    <font>
      <sz val="11"/>
      <color theme="1"/>
      <name val="Calibri (Body)"/>
    </font>
    <font>
      <b/>
      <sz val="9"/>
      <color rgb="FFFFFFFF"/>
      <name val="Calibri"/>
      <family val="2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11"/>
      <color rgb="FFFFFFFF"/>
      <name val="Calibri"/>
      <family val="2"/>
    </font>
    <font>
      <i/>
      <sz val="7"/>
      <color rgb="FF666666"/>
      <name val="Calibri"/>
      <family val="2"/>
    </font>
    <font>
      <b/>
      <sz val="7"/>
      <color rgb="FF444444"/>
      <name val="Calibri"/>
      <family val="2"/>
    </font>
    <font>
      <b/>
      <sz val="10"/>
      <color theme="0"/>
      <name val="Calibri"/>
      <family val="2"/>
    </font>
    <font>
      <sz val="9"/>
      <color rgb="FF000000"/>
      <name val="Aptos Narrow"/>
      <family val="2"/>
      <scheme val="minor"/>
    </font>
    <font>
      <i/>
      <sz val="8"/>
      <color rgb="FF1F5C2E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F5597"/>
      </patternFill>
    </fill>
    <fill>
      <patternFill patternType="solid">
        <fgColor rgb="FF003F7F"/>
      </patternFill>
    </fill>
    <fill>
      <patternFill patternType="solid">
        <fgColor rgb="FF1F5C2E"/>
      </patternFill>
    </fill>
    <fill>
      <patternFill patternType="solid">
        <fgColor rgb="FFC6811B"/>
      </patternFill>
    </fill>
    <fill>
      <patternFill patternType="solid">
        <fgColor rgb="FF375623"/>
      </patternFill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1" fillId="0" borderId="0"/>
    <xf numFmtId="9" fontId="11" fillId="0" borderId="0" applyFont="0" applyFill="0" applyBorder="0" applyAlignment="0" applyProtection="0"/>
  </cellStyleXfs>
  <cellXfs count="49">
    <xf numFmtId="0" fontId="0" fillId="0" borderId="0" xfId="0"/>
    <xf numFmtId="0" fontId="0" fillId="3" borderId="0" xfId="0" applyFill="1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right" vertical="center"/>
    </xf>
    <xf numFmtId="0" fontId="5" fillId="9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right" vertical="center"/>
    </xf>
    <xf numFmtId="0" fontId="7" fillId="8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left" vertical="center"/>
    </xf>
    <xf numFmtId="0" fontId="0" fillId="8" borderId="0" xfId="0" applyFill="1"/>
    <xf numFmtId="0" fontId="10" fillId="8" borderId="0" xfId="0" applyFont="1" applyFill="1" applyAlignment="1">
      <alignment horizontal="center" vertical="center"/>
    </xf>
    <xf numFmtId="165" fontId="10" fillId="8" borderId="0" xfId="0" applyNumberFormat="1" applyFont="1" applyFill="1" applyAlignment="1">
      <alignment horizontal="right" vertical="center"/>
    </xf>
    <xf numFmtId="164" fontId="2" fillId="0" borderId="0" xfId="0" applyNumberFormat="1" applyFont="1" applyFill="1" applyAlignment="1">
      <alignment horizontal="right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/>
    </xf>
    <xf numFmtId="0" fontId="13" fillId="8" borderId="0" xfId="1" applyFont="1" applyFill="1" applyAlignment="1">
      <alignment horizontal="left" vertical="center"/>
    </xf>
    <xf numFmtId="0" fontId="11" fillId="0" borderId="0" xfId="1"/>
    <xf numFmtId="0" fontId="11" fillId="3" borderId="0" xfId="1" applyFill="1"/>
    <xf numFmtId="0" fontId="1" fillId="4" borderId="0" xfId="1" applyFont="1" applyFill="1" applyAlignment="1">
      <alignment horizontal="center" vertical="center"/>
    </xf>
    <xf numFmtId="0" fontId="1" fillId="5" borderId="0" xfId="1" applyFont="1" applyFill="1" applyAlignment="1">
      <alignment horizontal="center" vertical="center"/>
    </xf>
    <xf numFmtId="0" fontId="1" fillId="6" borderId="0" xfId="1" applyFont="1" applyFill="1" applyAlignment="1">
      <alignment horizontal="center" vertical="center"/>
    </xf>
    <xf numFmtId="0" fontId="1" fillId="8" borderId="0" xfId="1" applyFont="1" applyFill="1" applyAlignment="1">
      <alignment horizontal="center" vertical="center" wrapText="1"/>
    </xf>
    <xf numFmtId="0" fontId="14" fillId="0" borderId="0" xfId="1" applyFont="1" applyAlignment="1">
      <alignment horizontal="left" vertical="center"/>
    </xf>
    <xf numFmtId="0" fontId="15" fillId="2" borderId="0" xfId="1" applyFont="1" applyFill="1" applyAlignment="1">
      <alignment horizontal="center" vertical="center"/>
    </xf>
    <xf numFmtId="0" fontId="16" fillId="10" borderId="0" xfId="1" applyFont="1" applyFill="1" applyAlignment="1">
      <alignment vertical="center"/>
    </xf>
    <xf numFmtId="0" fontId="10" fillId="3" borderId="0" xfId="1" applyFont="1" applyFill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5" fillId="9" borderId="0" xfId="1" applyFont="1" applyFill="1" applyAlignment="1">
      <alignment horizontal="center" vertical="center"/>
    </xf>
    <xf numFmtId="0" fontId="7" fillId="8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17" fillId="0" borderId="0" xfId="1" applyFont="1" applyAlignment="1">
      <alignment horizontal="left" vertical="center"/>
    </xf>
    <xf numFmtId="0" fontId="17" fillId="0" borderId="0" xfId="1" applyFont="1" applyAlignment="1">
      <alignment horizontal="center" vertical="center"/>
    </xf>
    <xf numFmtId="0" fontId="18" fillId="0" borderId="0" xfId="1" applyFont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0" fillId="8" borderId="0" xfId="1" applyFont="1" applyFill="1" applyAlignment="1">
      <alignment horizontal="left" vertical="center"/>
    </xf>
    <xf numFmtId="0" fontId="11" fillId="8" borderId="0" xfId="1" applyFill="1"/>
    <xf numFmtId="0" fontId="9" fillId="0" borderId="0" xfId="1" applyFont="1"/>
    <xf numFmtId="167" fontId="0" fillId="0" borderId="0" xfId="0" applyNumberFormat="1"/>
    <xf numFmtId="166" fontId="0" fillId="0" borderId="0" xfId="2" applyNumberFormat="1" applyFont="1"/>
  </cellXfs>
  <cellStyles count="3">
    <cellStyle name="Normal" xfId="0" builtinId="0"/>
    <cellStyle name="Normal 2" xfId="1" xr:uid="{3680318C-67AC-F344-B037-A0257E2F9722}"/>
    <cellStyle name="Per cent 2" xfId="2" xr:uid="{EBEE54E9-D3DB-E141-81CD-9D5D524CA4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kainossoftwareltd.sharepoint.com/sites/digital-services-projects/Shared%20Documents/Public%20Sector/NHS%20England/Data%20Directorate/PHM/SOW%203%20PHM%20National%20Product%20Delivery%20Partner/SOW3/Team%20Profiles/SOW3_Team_Profile_v9_DRAFT.xlsx" TargetMode="External"/><Relationship Id="rId2" Type="http://schemas.microsoft.com/office/2019/04/relationships/externalLinkLongPath" Target="https://kainossoftwareltd.sharepoint.com/sites/digital-services-projects/Shared%20Documents/Public%20Sector/NHS%20England/Data%20Directorate/PHM/SOW%203%20PHM%20National%20Product%20Delivery%20Partner/SOW3/Team%20Profiles/SOW3_Team_Profile_v9_DRAFT.xlsx?56D7C75D" TargetMode="External"/><Relationship Id="rId1" Type="http://schemas.openxmlformats.org/officeDocument/2006/relationships/externalLinkPath" Target="file:///56D7C75D/SOW3_Team_Profile_v9_DRA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dded to SOW"/>
      <sheetName val="Sheet5"/>
      <sheetName val="Planning Assumptions"/>
      <sheetName val="Baseline"/>
      <sheetName val="Kainos Pal Names"/>
    </sheetNames>
    <sheetDataSet>
      <sheetData sheetId="0" refreshError="1"/>
      <sheetData sheetId="1" refreshError="1"/>
      <sheetData sheetId="2">
        <row r="2">
          <cell r="B2">
            <v>4.5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8B69-BDFE-9547-AE6E-E137EBC7B767}">
  <dimension ref="A1:AC65"/>
  <sheetViews>
    <sheetView showGridLines="0" zoomScale="85" zoomScaleNormal="100" workbookViewId="0">
      <pane xSplit="7" ySplit="4" topLeftCell="H52" activePane="bottomRight" state="frozen"/>
      <selection pane="topRight"/>
      <selection pane="bottomLeft"/>
      <selection pane="bottomRight" activeCell="Q62" sqref="Q62"/>
    </sheetView>
  </sheetViews>
  <sheetFormatPr baseColWidth="10" defaultColWidth="8.83203125" defaultRowHeight="15"/>
  <cols>
    <col min="1" max="1" width="22" style="23" customWidth="1"/>
    <col min="2" max="2" width="4" style="23" customWidth="1"/>
    <col min="3" max="3" width="22" style="23" customWidth="1"/>
    <col min="4" max="4" width="5" style="23" customWidth="1"/>
    <col min="5" max="5" width="26" style="23" customWidth="1"/>
    <col min="6" max="6" width="40.6640625" style="23" customWidth="1"/>
    <col min="7" max="7" width="9" style="46" customWidth="1"/>
    <col min="8" max="29" width="5.1640625" style="23" customWidth="1"/>
    <col min="30" max="16384" width="8.83203125" style="23"/>
  </cols>
  <sheetData>
    <row r="1" spans="1:29" ht="22" customHeight="1">
      <c r="A1" s="22" t="s">
        <v>65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 spans="1:29" ht="13" customHeight="1">
      <c r="A2" s="24"/>
      <c r="B2" s="24"/>
      <c r="C2" s="24"/>
      <c r="D2" s="24"/>
      <c r="E2" s="24"/>
      <c r="F2" s="24"/>
      <c r="G2" s="24"/>
      <c r="H2" s="25" t="s">
        <v>0</v>
      </c>
      <c r="I2" s="25"/>
      <c r="J2" s="25"/>
      <c r="K2" s="25"/>
      <c r="L2" s="26" t="s">
        <v>1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7" t="s">
        <v>2</v>
      </c>
      <c r="AC2" s="27"/>
    </row>
    <row r="3" spans="1:29" ht="30" customHeight="1">
      <c r="A3" s="28" t="s">
        <v>4</v>
      </c>
      <c r="B3" s="28" t="s">
        <v>5</v>
      </c>
      <c r="C3" s="28" t="s">
        <v>6</v>
      </c>
      <c r="D3" s="28" t="s">
        <v>7</v>
      </c>
      <c r="E3" s="28" t="s">
        <v>8</v>
      </c>
      <c r="F3" s="28" t="s">
        <v>9</v>
      </c>
      <c r="G3" s="28" t="s">
        <v>10</v>
      </c>
      <c r="H3" s="28" t="s">
        <v>12</v>
      </c>
      <c r="I3" s="28" t="s">
        <v>13</v>
      </c>
      <c r="J3" s="28" t="s">
        <v>14</v>
      </c>
      <c r="K3" s="28" t="s">
        <v>15</v>
      </c>
      <c r="L3" s="28" t="s">
        <v>16</v>
      </c>
      <c r="M3" s="28" t="s">
        <v>17</v>
      </c>
      <c r="N3" s="28" t="s">
        <v>18</v>
      </c>
      <c r="O3" s="28" t="s">
        <v>19</v>
      </c>
      <c r="P3" s="28" t="s">
        <v>20</v>
      </c>
      <c r="Q3" s="28" t="s">
        <v>21</v>
      </c>
      <c r="R3" s="28" t="s">
        <v>22</v>
      </c>
      <c r="S3" s="28" t="s">
        <v>23</v>
      </c>
      <c r="T3" s="28" t="s">
        <v>24</v>
      </c>
      <c r="U3" s="28" t="s">
        <v>25</v>
      </c>
      <c r="V3" s="28" t="s">
        <v>26</v>
      </c>
      <c r="W3" s="28" t="s">
        <v>27</v>
      </c>
      <c r="X3" s="28" t="s">
        <v>28</v>
      </c>
      <c r="Y3" s="28" t="s">
        <v>29</v>
      </c>
      <c r="Z3" s="28" t="s">
        <v>30</v>
      </c>
      <c r="AA3" s="28" t="s">
        <v>31</v>
      </c>
      <c r="AB3" s="28" t="s">
        <v>32</v>
      </c>
      <c r="AC3" s="28" t="s">
        <v>33</v>
      </c>
    </row>
    <row r="4" spans="1:29" ht="13" customHeight="1">
      <c r="A4" s="29" t="s">
        <v>66</v>
      </c>
      <c r="B4" s="29"/>
      <c r="C4" s="29"/>
      <c r="D4" s="29"/>
      <c r="E4" s="29"/>
      <c r="F4" s="29"/>
      <c r="G4" s="29"/>
      <c r="H4" s="30" t="s">
        <v>67</v>
      </c>
      <c r="I4" s="30" t="s">
        <v>68</v>
      </c>
      <c r="J4" s="30" t="s">
        <v>69</v>
      </c>
      <c r="K4" s="30" t="s">
        <v>70</v>
      </c>
      <c r="L4" s="30" t="s">
        <v>71</v>
      </c>
      <c r="M4" s="30" t="s">
        <v>72</v>
      </c>
      <c r="N4" s="30" t="s">
        <v>73</v>
      </c>
      <c r="O4" s="30" t="s">
        <v>74</v>
      </c>
      <c r="P4" s="30" t="s">
        <v>75</v>
      </c>
      <c r="Q4" s="30" t="s">
        <v>76</v>
      </c>
      <c r="R4" s="30" t="s">
        <v>77</v>
      </c>
      <c r="S4" s="30" t="s">
        <v>78</v>
      </c>
      <c r="T4" s="30" t="s">
        <v>79</v>
      </c>
      <c r="U4" s="30" t="s">
        <v>80</v>
      </c>
      <c r="V4" s="30" t="s">
        <v>81</v>
      </c>
      <c r="W4" s="30" t="s">
        <v>82</v>
      </c>
      <c r="X4" s="30" t="s">
        <v>83</v>
      </c>
      <c r="Y4" s="30" t="s">
        <v>84</v>
      </c>
      <c r="Z4" s="30" t="s">
        <v>85</v>
      </c>
      <c r="AA4" s="30" t="s">
        <v>86</v>
      </c>
      <c r="AB4" s="30" t="s">
        <v>87</v>
      </c>
      <c r="AC4" s="30" t="s">
        <v>88</v>
      </c>
    </row>
    <row r="5" spans="1:29" ht="22" customHeight="1">
      <c r="A5" s="31" t="s">
        <v>89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</row>
    <row r="6" spans="1:29" ht="13" customHeight="1">
      <c r="A6" s="32" t="s">
        <v>90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</row>
    <row r="7" spans="1:29" ht="14" customHeight="1">
      <c r="A7" s="33" t="s">
        <v>39</v>
      </c>
      <c r="B7" s="34">
        <v>0</v>
      </c>
      <c r="C7" s="33" t="s">
        <v>40</v>
      </c>
      <c r="D7" s="33">
        <v>6</v>
      </c>
      <c r="E7" s="33" t="s">
        <v>41</v>
      </c>
      <c r="F7" s="35" t="s">
        <v>42</v>
      </c>
      <c r="G7" s="36" t="s">
        <v>43</v>
      </c>
      <c r="H7" s="37">
        <v>0.2</v>
      </c>
      <c r="I7" s="37">
        <v>0.2</v>
      </c>
      <c r="J7" s="37">
        <v>0.2</v>
      </c>
      <c r="K7" s="37">
        <v>0.2</v>
      </c>
      <c r="L7" s="37">
        <v>0.2</v>
      </c>
      <c r="M7" s="37">
        <v>0.2</v>
      </c>
      <c r="N7" s="37">
        <v>0.2</v>
      </c>
      <c r="O7" s="37">
        <v>0.2</v>
      </c>
      <c r="P7" s="37">
        <v>0.2</v>
      </c>
      <c r="Q7" s="37">
        <v>0.2</v>
      </c>
      <c r="R7" s="37">
        <v>0.2</v>
      </c>
      <c r="S7" s="37">
        <v>0.2</v>
      </c>
      <c r="T7" s="37">
        <v>0.2</v>
      </c>
      <c r="U7" s="37">
        <v>0.2</v>
      </c>
      <c r="V7" s="37">
        <v>0.2</v>
      </c>
      <c r="W7" s="37">
        <v>0.2</v>
      </c>
      <c r="X7" s="37">
        <v>0.2</v>
      </c>
      <c r="Y7" s="37">
        <v>0.2</v>
      </c>
      <c r="Z7" s="37">
        <v>0.2</v>
      </c>
      <c r="AA7" s="37">
        <v>0.2</v>
      </c>
      <c r="AB7" s="37">
        <v>0.2</v>
      </c>
      <c r="AC7" s="37">
        <v>0.2</v>
      </c>
    </row>
    <row r="8" spans="1:29" ht="14" customHeight="1">
      <c r="A8" s="33" t="s">
        <v>91</v>
      </c>
      <c r="B8" s="34">
        <v>1</v>
      </c>
      <c r="C8" s="33" t="s">
        <v>92</v>
      </c>
      <c r="D8" s="33">
        <v>6</v>
      </c>
      <c r="E8" s="33" t="s">
        <v>41</v>
      </c>
      <c r="F8" s="35" t="s">
        <v>42</v>
      </c>
      <c r="G8" s="36" t="s">
        <v>93</v>
      </c>
      <c r="H8" s="38">
        <v>1</v>
      </c>
      <c r="I8" s="38">
        <v>1</v>
      </c>
      <c r="J8" s="38">
        <v>1</v>
      </c>
      <c r="K8" s="38">
        <v>1</v>
      </c>
      <c r="L8" s="38">
        <v>1</v>
      </c>
      <c r="M8" s="38">
        <v>1</v>
      </c>
      <c r="N8" s="38">
        <v>1</v>
      </c>
      <c r="O8" s="38">
        <v>1</v>
      </c>
      <c r="P8" s="38">
        <v>1</v>
      </c>
      <c r="Q8" s="38">
        <v>1</v>
      </c>
      <c r="R8" s="38">
        <v>1</v>
      </c>
      <c r="S8" s="38">
        <v>1</v>
      </c>
      <c r="T8" s="38">
        <v>1</v>
      </c>
      <c r="U8" s="38">
        <v>1</v>
      </c>
      <c r="V8" s="38">
        <v>1</v>
      </c>
      <c r="W8" s="38">
        <v>1</v>
      </c>
      <c r="X8" s="38">
        <v>1</v>
      </c>
      <c r="Y8" s="38">
        <v>1</v>
      </c>
      <c r="Z8" s="38">
        <v>1</v>
      </c>
      <c r="AA8" s="38">
        <v>1</v>
      </c>
      <c r="AB8" s="38">
        <v>1</v>
      </c>
      <c r="AC8" s="38">
        <v>1</v>
      </c>
    </row>
    <row r="9" spans="1:29" ht="14" customHeight="1">
      <c r="A9" s="33" t="s">
        <v>94</v>
      </c>
      <c r="B9" s="34">
        <v>2</v>
      </c>
      <c r="C9" s="33" t="s">
        <v>95</v>
      </c>
      <c r="D9" s="33">
        <v>5</v>
      </c>
      <c r="E9" s="33" t="s">
        <v>96</v>
      </c>
      <c r="F9" s="35" t="s">
        <v>97</v>
      </c>
      <c r="G9" s="36" t="s">
        <v>93</v>
      </c>
      <c r="H9" s="38">
        <v>1</v>
      </c>
      <c r="I9" s="38">
        <v>1</v>
      </c>
      <c r="J9" s="38">
        <v>1</v>
      </c>
      <c r="K9" s="38">
        <v>1</v>
      </c>
      <c r="L9" s="37">
        <v>0.2</v>
      </c>
      <c r="M9" s="37">
        <v>0.2</v>
      </c>
      <c r="N9" s="37">
        <v>0.2</v>
      </c>
      <c r="O9" s="37">
        <v>0.2</v>
      </c>
      <c r="P9" s="37">
        <v>0.2</v>
      </c>
      <c r="Q9" s="37">
        <v>0.2</v>
      </c>
      <c r="R9" s="37">
        <v>0.2</v>
      </c>
      <c r="S9" s="37">
        <v>0.2</v>
      </c>
      <c r="T9" s="37">
        <v>0.2</v>
      </c>
      <c r="U9" s="37">
        <v>0.2</v>
      </c>
      <c r="V9" s="37">
        <v>0.2</v>
      </c>
      <c r="W9" s="37">
        <v>0.2</v>
      </c>
      <c r="X9" s="37">
        <v>0.2</v>
      </c>
      <c r="Y9" s="37">
        <v>0.2</v>
      </c>
      <c r="Z9" s="37">
        <v>0.2</v>
      </c>
      <c r="AA9" s="37">
        <v>0.2</v>
      </c>
      <c r="AB9" s="37">
        <v>0.2</v>
      </c>
      <c r="AC9" s="37">
        <v>0.2</v>
      </c>
    </row>
    <row r="10" spans="1:29" ht="14" customHeight="1">
      <c r="A10" s="33" t="s">
        <v>98</v>
      </c>
      <c r="B10" s="34">
        <v>2</v>
      </c>
      <c r="C10" s="33" t="s">
        <v>99</v>
      </c>
      <c r="D10" s="33">
        <v>6</v>
      </c>
      <c r="E10" s="33" t="s">
        <v>100</v>
      </c>
      <c r="F10" s="35" t="s">
        <v>101</v>
      </c>
      <c r="G10" s="36" t="s">
        <v>102</v>
      </c>
      <c r="H10" s="38">
        <v>1</v>
      </c>
      <c r="I10" s="38">
        <v>1</v>
      </c>
      <c r="J10" s="38">
        <v>1</v>
      </c>
      <c r="K10" s="38">
        <v>1</v>
      </c>
      <c r="L10" s="38">
        <v>1</v>
      </c>
      <c r="M10" s="38">
        <v>1</v>
      </c>
      <c r="N10" s="38">
        <v>1</v>
      </c>
      <c r="O10" s="38">
        <v>1</v>
      </c>
      <c r="P10" s="38">
        <v>1</v>
      </c>
      <c r="Q10" s="38">
        <v>1</v>
      </c>
      <c r="R10" s="38">
        <v>1</v>
      </c>
      <c r="S10" s="38">
        <v>1</v>
      </c>
      <c r="T10" s="38">
        <v>1</v>
      </c>
      <c r="U10" s="38">
        <v>1</v>
      </c>
      <c r="V10" s="38">
        <v>1</v>
      </c>
      <c r="W10" s="38">
        <v>1</v>
      </c>
      <c r="X10" s="38">
        <v>1</v>
      </c>
      <c r="Y10" s="38">
        <v>1</v>
      </c>
      <c r="Z10" s="38">
        <v>1</v>
      </c>
      <c r="AA10" s="38">
        <v>1</v>
      </c>
      <c r="AB10" s="38">
        <v>1</v>
      </c>
      <c r="AC10" s="38">
        <v>1</v>
      </c>
    </row>
    <row r="11" spans="1:29" ht="14" customHeight="1">
      <c r="A11" s="33" t="s">
        <v>44</v>
      </c>
      <c r="B11" s="34">
        <v>2</v>
      </c>
      <c r="C11" s="33" t="s">
        <v>40</v>
      </c>
      <c r="D11" s="33">
        <v>5</v>
      </c>
      <c r="E11" s="33" t="s">
        <v>45</v>
      </c>
      <c r="F11" s="35" t="s">
        <v>46</v>
      </c>
      <c r="G11" s="36" t="s">
        <v>43</v>
      </c>
      <c r="H11" s="38">
        <v>1</v>
      </c>
      <c r="I11" s="38">
        <v>1</v>
      </c>
      <c r="J11" s="38">
        <v>1</v>
      </c>
      <c r="K11" s="38">
        <v>1</v>
      </c>
      <c r="L11" s="38">
        <v>1</v>
      </c>
      <c r="M11" s="38">
        <v>1</v>
      </c>
      <c r="N11" s="38">
        <v>1</v>
      </c>
      <c r="O11" s="38">
        <v>1</v>
      </c>
      <c r="P11" s="38">
        <v>1</v>
      </c>
      <c r="Q11" s="38">
        <v>1</v>
      </c>
      <c r="R11" s="38">
        <v>1</v>
      </c>
      <c r="S11" s="38">
        <v>1</v>
      </c>
      <c r="T11" s="38">
        <v>1</v>
      </c>
      <c r="U11" s="38">
        <v>1</v>
      </c>
      <c r="V11" s="38">
        <v>1</v>
      </c>
      <c r="W11" s="38">
        <v>1</v>
      </c>
      <c r="X11" s="38">
        <v>1</v>
      </c>
      <c r="Y11" s="38">
        <v>1</v>
      </c>
      <c r="Z11" s="38">
        <v>1</v>
      </c>
      <c r="AA11" s="38">
        <v>1</v>
      </c>
      <c r="AB11" s="38">
        <v>1</v>
      </c>
      <c r="AC11" s="38">
        <v>1</v>
      </c>
    </row>
    <row r="12" spans="1:29" ht="14" customHeight="1">
      <c r="A12" s="33" t="s">
        <v>103</v>
      </c>
      <c r="B12" s="34">
        <v>2</v>
      </c>
      <c r="C12" s="33" t="s">
        <v>104</v>
      </c>
      <c r="D12" s="33">
        <v>5</v>
      </c>
      <c r="E12" s="33" t="s">
        <v>105</v>
      </c>
      <c r="F12" s="35" t="s">
        <v>106</v>
      </c>
      <c r="G12" s="36" t="s">
        <v>107</v>
      </c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8">
        <v>1</v>
      </c>
      <c r="U12" s="38">
        <v>1</v>
      </c>
      <c r="V12" s="38">
        <v>1</v>
      </c>
      <c r="W12" s="38">
        <v>1</v>
      </c>
      <c r="X12" s="38">
        <v>1</v>
      </c>
      <c r="Y12" s="38">
        <v>1</v>
      </c>
      <c r="Z12" s="38">
        <v>1</v>
      </c>
      <c r="AA12" s="38">
        <v>1</v>
      </c>
      <c r="AB12" s="38">
        <v>1</v>
      </c>
      <c r="AC12" s="38">
        <v>1</v>
      </c>
    </row>
    <row r="13" spans="1:29" ht="14" customHeight="1">
      <c r="A13" s="33" t="s">
        <v>103</v>
      </c>
      <c r="B13" s="34">
        <v>2</v>
      </c>
      <c r="C13" s="33" t="s">
        <v>104</v>
      </c>
      <c r="D13" s="33">
        <v>5</v>
      </c>
      <c r="E13" s="33" t="s">
        <v>105</v>
      </c>
      <c r="F13" s="35" t="s">
        <v>106</v>
      </c>
      <c r="G13" s="36" t="s">
        <v>107</v>
      </c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8">
        <v>1</v>
      </c>
      <c r="U13" s="38">
        <v>1</v>
      </c>
      <c r="V13" s="38">
        <v>1</v>
      </c>
      <c r="W13" s="38">
        <v>1</v>
      </c>
      <c r="X13" s="38">
        <v>1</v>
      </c>
      <c r="Y13" s="38">
        <v>1</v>
      </c>
      <c r="Z13" s="38">
        <v>1</v>
      </c>
      <c r="AA13" s="38">
        <v>1</v>
      </c>
      <c r="AB13" s="38">
        <v>1</v>
      </c>
      <c r="AC13" s="38">
        <v>1</v>
      </c>
    </row>
    <row r="14" spans="1:29" ht="13" customHeight="1">
      <c r="A14" s="32" t="s">
        <v>108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</row>
    <row r="15" spans="1:29" ht="14" customHeight="1">
      <c r="A15" s="33" t="s">
        <v>47</v>
      </c>
      <c r="B15" s="34">
        <v>2</v>
      </c>
      <c r="C15" s="33" t="s">
        <v>48</v>
      </c>
      <c r="D15" s="33">
        <v>6</v>
      </c>
      <c r="E15" s="33" t="s">
        <v>49</v>
      </c>
      <c r="F15" s="35" t="s">
        <v>50</v>
      </c>
      <c r="G15" s="36" t="s">
        <v>43</v>
      </c>
      <c r="H15" s="38">
        <v>1</v>
      </c>
      <c r="I15" s="38">
        <v>1</v>
      </c>
      <c r="J15" s="38">
        <v>1</v>
      </c>
      <c r="K15" s="38">
        <v>1</v>
      </c>
      <c r="L15" s="38">
        <v>1</v>
      </c>
      <c r="M15" s="38">
        <v>1</v>
      </c>
      <c r="N15" s="38">
        <v>1</v>
      </c>
      <c r="O15" s="38">
        <v>1</v>
      </c>
      <c r="P15" s="38">
        <v>1</v>
      </c>
      <c r="Q15" s="38">
        <v>1</v>
      </c>
      <c r="R15" s="38">
        <v>1</v>
      </c>
      <c r="S15" s="38">
        <v>1</v>
      </c>
      <c r="T15" s="37">
        <v>0.4</v>
      </c>
      <c r="U15" s="37">
        <v>0.4</v>
      </c>
      <c r="V15" s="37">
        <v>0.4</v>
      </c>
      <c r="W15" s="37">
        <v>0.4</v>
      </c>
      <c r="X15" s="37">
        <v>0.4</v>
      </c>
      <c r="Y15" s="37">
        <v>0.4</v>
      </c>
      <c r="Z15" s="37">
        <v>0.4</v>
      </c>
      <c r="AA15" s="37">
        <v>0.4</v>
      </c>
      <c r="AB15" s="37">
        <v>0.4</v>
      </c>
      <c r="AC15" s="37">
        <v>0.4</v>
      </c>
    </row>
    <row r="16" spans="1:29" ht="14" customHeight="1">
      <c r="A16" s="33" t="s">
        <v>51</v>
      </c>
      <c r="B16" s="34">
        <v>4</v>
      </c>
      <c r="C16" s="33" t="s">
        <v>40</v>
      </c>
      <c r="D16" s="33">
        <v>4</v>
      </c>
      <c r="E16" s="33" t="s">
        <v>49</v>
      </c>
      <c r="F16" s="35" t="s">
        <v>52</v>
      </c>
      <c r="G16" s="36" t="s">
        <v>43</v>
      </c>
      <c r="H16" s="38">
        <v>1</v>
      </c>
      <c r="I16" s="38">
        <v>1</v>
      </c>
      <c r="J16" s="38">
        <v>1</v>
      </c>
      <c r="K16" s="38">
        <v>1</v>
      </c>
      <c r="L16" s="38">
        <v>1</v>
      </c>
      <c r="M16" s="38">
        <v>1</v>
      </c>
      <c r="N16" s="38">
        <v>1</v>
      </c>
      <c r="O16" s="38">
        <v>1</v>
      </c>
      <c r="P16" s="38">
        <v>1</v>
      </c>
      <c r="Q16" s="38">
        <v>1</v>
      </c>
      <c r="R16" s="38">
        <v>1</v>
      </c>
      <c r="S16" s="38">
        <v>1</v>
      </c>
      <c r="T16" s="39"/>
      <c r="U16" s="39"/>
      <c r="V16" s="39"/>
      <c r="W16" s="39"/>
      <c r="X16" s="39"/>
      <c r="Y16" s="39"/>
      <c r="Z16" s="39"/>
      <c r="AA16" s="39"/>
      <c r="AB16" s="39"/>
      <c r="AC16" s="39"/>
    </row>
    <row r="17" spans="1:29" ht="14" customHeight="1">
      <c r="A17" s="33" t="s">
        <v>53</v>
      </c>
      <c r="B17" s="34">
        <v>4</v>
      </c>
      <c r="C17" s="33" t="s">
        <v>54</v>
      </c>
      <c r="D17" s="33">
        <v>4</v>
      </c>
      <c r="E17" s="33" t="s">
        <v>49</v>
      </c>
      <c r="F17" s="35" t="s">
        <v>52</v>
      </c>
      <c r="G17" s="36" t="s">
        <v>43</v>
      </c>
      <c r="H17" s="38">
        <v>1</v>
      </c>
      <c r="I17" s="38">
        <v>1</v>
      </c>
      <c r="J17" s="38">
        <v>1</v>
      </c>
      <c r="K17" s="38">
        <v>1</v>
      </c>
      <c r="L17" s="38">
        <v>1</v>
      </c>
      <c r="M17" s="38">
        <v>1</v>
      </c>
      <c r="N17" s="38">
        <v>1</v>
      </c>
      <c r="O17" s="38">
        <v>1</v>
      </c>
      <c r="P17" s="38">
        <v>1</v>
      </c>
      <c r="Q17" s="38">
        <v>1</v>
      </c>
      <c r="R17" s="38">
        <v>1</v>
      </c>
      <c r="S17" s="38">
        <v>1</v>
      </c>
      <c r="T17" s="39"/>
      <c r="U17" s="39"/>
      <c r="V17" s="39"/>
      <c r="W17" s="39"/>
      <c r="X17" s="39"/>
      <c r="Y17" s="39"/>
      <c r="Z17" s="39"/>
      <c r="AA17" s="39"/>
      <c r="AB17" s="39"/>
      <c r="AC17" s="39"/>
    </row>
    <row r="18" spans="1:29" ht="13" customHeight="1">
      <c r="A18" s="32" t="s">
        <v>109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</row>
    <row r="19" spans="1:29" ht="14" customHeight="1">
      <c r="A19" s="33" t="s">
        <v>110</v>
      </c>
      <c r="B19" s="34">
        <v>3</v>
      </c>
      <c r="C19" s="33" t="s">
        <v>111</v>
      </c>
      <c r="D19" s="33">
        <v>5</v>
      </c>
      <c r="E19" s="33" t="s">
        <v>112</v>
      </c>
      <c r="F19" s="35" t="s">
        <v>113</v>
      </c>
      <c r="G19" s="36" t="s">
        <v>93</v>
      </c>
      <c r="H19" s="39"/>
      <c r="I19" s="39"/>
      <c r="J19" s="39"/>
      <c r="K19" s="39"/>
      <c r="L19" s="38">
        <v>1</v>
      </c>
      <c r="M19" s="38">
        <v>1</v>
      </c>
      <c r="N19" s="38">
        <v>1</v>
      </c>
      <c r="O19" s="38">
        <v>1</v>
      </c>
      <c r="P19" s="38">
        <v>1</v>
      </c>
      <c r="Q19" s="38">
        <v>1</v>
      </c>
      <c r="R19" s="38">
        <v>1</v>
      </c>
      <c r="S19" s="38">
        <v>1</v>
      </c>
      <c r="T19" s="38">
        <v>1</v>
      </c>
      <c r="U19" s="38">
        <v>1</v>
      </c>
      <c r="V19" s="38">
        <v>1</v>
      </c>
      <c r="W19" s="38">
        <v>1</v>
      </c>
      <c r="X19" s="38">
        <v>1</v>
      </c>
      <c r="Y19" s="38">
        <v>1</v>
      </c>
      <c r="Z19" s="38">
        <v>1</v>
      </c>
      <c r="AA19" s="38">
        <v>1</v>
      </c>
      <c r="AB19" s="38">
        <v>1</v>
      </c>
      <c r="AC19" s="38">
        <v>1</v>
      </c>
    </row>
    <row r="20" spans="1:29" ht="22" customHeight="1">
      <c r="A20" s="31" t="s">
        <v>114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</row>
    <row r="21" spans="1:29" ht="13" customHeight="1">
      <c r="A21" s="32" t="s">
        <v>115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</row>
    <row r="22" spans="1:29" ht="14" customHeight="1">
      <c r="A22" s="33" t="s">
        <v>51</v>
      </c>
      <c r="B22" s="34">
        <v>2</v>
      </c>
      <c r="C22" s="33" t="s">
        <v>116</v>
      </c>
      <c r="D22" s="33">
        <v>5</v>
      </c>
      <c r="E22" s="33" t="s">
        <v>117</v>
      </c>
      <c r="F22" s="35" t="s">
        <v>118</v>
      </c>
      <c r="G22" s="36" t="s">
        <v>93</v>
      </c>
      <c r="H22" s="38">
        <v>1</v>
      </c>
      <c r="I22" s="38">
        <v>1</v>
      </c>
      <c r="J22" s="38">
        <v>1</v>
      </c>
      <c r="K22" s="38">
        <v>1</v>
      </c>
      <c r="L22" s="38">
        <v>1</v>
      </c>
      <c r="M22" s="38">
        <v>1</v>
      </c>
      <c r="N22" s="38">
        <v>1</v>
      </c>
      <c r="O22" s="38">
        <v>1</v>
      </c>
      <c r="P22" s="38">
        <v>1</v>
      </c>
      <c r="Q22" s="38">
        <v>1</v>
      </c>
      <c r="R22" s="38">
        <v>1</v>
      </c>
      <c r="S22" s="38">
        <v>1</v>
      </c>
      <c r="T22" s="38">
        <v>1</v>
      </c>
      <c r="U22" s="38">
        <v>1</v>
      </c>
      <c r="V22" s="38">
        <v>1</v>
      </c>
      <c r="W22" s="38">
        <v>1</v>
      </c>
      <c r="X22" s="38">
        <v>1</v>
      </c>
      <c r="Y22" s="38">
        <v>1</v>
      </c>
      <c r="Z22" s="38">
        <v>1</v>
      </c>
      <c r="AA22" s="38">
        <v>1</v>
      </c>
      <c r="AB22" s="39"/>
      <c r="AC22" s="39"/>
    </row>
    <row r="23" spans="1:29" ht="14" customHeight="1">
      <c r="A23" s="33" t="s">
        <v>119</v>
      </c>
      <c r="B23" s="34">
        <v>2</v>
      </c>
      <c r="C23" s="33" t="s">
        <v>120</v>
      </c>
      <c r="D23" s="33">
        <v>6</v>
      </c>
      <c r="E23" s="33" t="s">
        <v>121</v>
      </c>
      <c r="F23" s="35" t="s">
        <v>122</v>
      </c>
      <c r="G23" s="36" t="s">
        <v>93</v>
      </c>
      <c r="H23" s="38">
        <v>1</v>
      </c>
      <c r="I23" s="38">
        <v>1</v>
      </c>
      <c r="J23" s="38">
        <v>1</v>
      </c>
      <c r="K23" s="38">
        <v>1</v>
      </c>
      <c r="L23" s="38">
        <v>1</v>
      </c>
      <c r="M23" s="38">
        <v>1</v>
      </c>
      <c r="N23" s="38">
        <v>1</v>
      </c>
      <c r="O23" s="38">
        <v>1</v>
      </c>
      <c r="P23" s="38">
        <v>1</v>
      </c>
      <c r="Q23" s="38">
        <v>1</v>
      </c>
      <c r="R23" s="38">
        <v>1</v>
      </c>
      <c r="S23" s="38">
        <v>1</v>
      </c>
      <c r="T23" s="38">
        <v>1</v>
      </c>
      <c r="U23" s="38">
        <v>1</v>
      </c>
      <c r="V23" s="38">
        <v>1</v>
      </c>
      <c r="W23" s="38">
        <v>1</v>
      </c>
      <c r="X23" s="38">
        <v>1</v>
      </c>
      <c r="Y23" s="38">
        <v>1</v>
      </c>
      <c r="Z23" s="38">
        <v>1</v>
      </c>
      <c r="AA23" s="38">
        <v>1</v>
      </c>
      <c r="AB23" s="39"/>
      <c r="AC23" s="39"/>
    </row>
    <row r="24" spans="1:29" ht="13" customHeight="1">
      <c r="A24" s="32" t="s">
        <v>123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</row>
    <row r="25" spans="1:29" ht="14" customHeight="1">
      <c r="A25" s="33" t="s">
        <v>124</v>
      </c>
      <c r="B25" s="34">
        <v>4</v>
      </c>
      <c r="C25" s="33" t="s">
        <v>125</v>
      </c>
      <c r="D25" s="33">
        <v>4</v>
      </c>
      <c r="E25" s="33" t="s">
        <v>126</v>
      </c>
      <c r="F25" s="35" t="s">
        <v>127</v>
      </c>
      <c r="G25" s="36" t="s">
        <v>102</v>
      </c>
      <c r="H25" s="38">
        <v>1</v>
      </c>
      <c r="I25" s="38">
        <v>1</v>
      </c>
      <c r="J25" s="38">
        <v>1</v>
      </c>
      <c r="K25" s="38">
        <v>1</v>
      </c>
      <c r="L25" s="38">
        <v>1</v>
      </c>
      <c r="M25" s="38">
        <v>1</v>
      </c>
      <c r="N25" s="38">
        <v>1</v>
      </c>
      <c r="O25" s="38">
        <v>1</v>
      </c>
      <c r="P25" s="38">
        <v>1</v>
      </c>
      <c r="Q25" s="38">
        <v>1</v>
      </c>
      <c r="R25" s="38">
        <v>1</v>
      </c>
      <c r="S25" s="38">
        <v>1</v>
      </c>
      <c r="T25" s="38">
        <v>1</v>
      </c>
      <c r="U25" s="38">
        <v>1</v>
      </c>
      <c r="V25" s="38">
        <v>1</v>
      </c>
      <c r="W25" s="38">
        <v>1</v>
      </c>
      <c r="X25" s="38">
        <v>1</v>
      </c>
      <c r="Y25" s="38">
        <v>1</v>
      </c>
      <c r="Z25" s="38">
        <v>1</v>
      </c>
      <c r="AA25" s="38">
        <v>1</v>
      </c>
      <c r="AB25" s="38">
        <v>1</v>
      </c>
      <c r="AC25" s="38">
        <v>1</v>
      </c>
    </row>
    <row r="26" spans="1:29" ht="14" customHeight="1">
      <c r="A26" s="33" t="s">
        <v>128</v>
      </c>
      <c r="B26" s="34">
        <v>4</v>
      </c>
      <c r="C26" s="33" t="s">
        <v>129</v>
      </c>
      <c r="D26" s="33">
        <v>4</v>
      </c>
      <c r="E26" s="33"/>
      <c r="F26" s="35" t="s">
        <v>127</v>
      </c>
      <c r="G26" s="36" t="s">
        <v>93</v>
      </c>
      <c r="H26" s="38">
        <v>1</v>
      </c>
      <c r="I26" s="38">
        <v>1</v>
      </c>
      <c r="J26" s="38">
        <v>1</v>
      </c>
      <c r="K26" s="38">
        <v>1</v>
      </c>
      <c r="L26" s="38">
        <v>1</v>
      </c>
      <c r="M26" s="38">
        <v>1</v>
      </c>
      <c r="N26" s="38">
        <v>1</v>
      </c>
      <c r="O26" s="38">
        <v>1</v>
      </c>
      <c r="P26" s="38">
        <v>1</v>
      </c>
      <c r="Q26" s="38">
        <v>1</v>
      </c>
      <c r="R26" s="38">
        <v>1</v>
      </c>
      <c r="S26" s="38">
        <v>1</v>
      </c>
      <c r="T26" s="38">
        <v>1</v>
      </c>
      <c r="U26" s="38">
        <v>1</v>
      </c>
      <c r="V26" s="38">
        <v>1</v>
      </c>
      <c r="W26" s="38">
        <v>1</v>
      </c>
      <c r="X26" s="38">
        <v>1</v>
      </c>
      <c r="Y26" s="38">
        <v>1</v>
      </c>
      <c r="Z26" s="38">
        <v>1</v>
      </c>
      <c r="AA26" s="38">
        <v>1</v>
      </c>
      <c r="AB26" s="38">
        <v>1</v>
      </c>
      <c r="AC26" s="38">
        <v>1</v>
      </c>
    </row>
    <row r="27" spans="1:29" ht="14" customHeight="1">
      <c r="A27" s="33" t="s">
        <v>128</v>
      </c>
      <c r="B27" s="34">
        <v>5</v>
      </c>
      <c r="C27" s="33" t="s">
        <v>130</v>
      </c>
      <c r="D27" s="33">
        <v>3</v>
      </c>
      <c r="E27" s="33"/>
      <c r="F27" s="35" t="s">
        <v>127</v>
      </c>
      <c r="G27" s="36" t="s">
        <v>93</v>
      </c>
      <c r="H27" s="39"/>
      <c r="I27" s="39"/>
      <c r="J27" s="38">
        <v>1</v>
      </c>
      <c r="K27" s="38">
        <v>1</v>
      </c>
      <c r="L27" s="38">
        <v>1</v>
      </c>
      <c r="M27" s="38">
        <v>1</v>
      </c>
      <c r="N27" s="38">
        <v>1</v>
      </c>
      <c r="O27" s="38">
        <v>1</v>
      </c>
      <c r="P27" s="38">
        <v>1</v>
      </c>
      <c r="Q27" s="38">
        <v>1</v>
      </c>
      <c r="R27" s="38">
        <v>1</v>
      </c>
      <c r="S27" s="38">
        <v>1</v>
      </c>
      <c r="T27" s="38">
        <v>1</v>
      </c>
      <c r="U27" s="38">
        <v>1</v>
      </c>
      <c r="V27" s="38">
        <v>1</v>
      </c>
      <c r="W27" s="38">
        <v>1</v>
      </c>
      <c r="X27" s="38">
        <v>1</v>
      </c>
      <c r="Y27" s="38">
        <v>1</v>
      </c>
      <c r="Z27" s="38">
        <v>1</v>
      </c>
      <c r="AA27" s="38">
        <v>1</v>
      </c>
      <c r="AB27" s="38">
        <v>1</v>
      </c>
      <c r="AC27" s="38">
        <v>1</v>
      </c>
    </row>
    <row r="28" spans="1:29" ht="13" customHeight="1">
      <c r="A28" s="32" t="s">
        <v>131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</row>
    <row r="29" spans="1:29" ht="14" customHeight="1">
      <c r="A29" s="33" t="s">
        <v>55</v>
      </c>
      <c r="B29" s="34">
        <v>2</v>
      </c>
      <c r="C29" s="33" t="s">
        <v>48</v>
      </c>
      <c r="D29" s="33">
        <v>6</v>
      </c>
      <c r="E29" s="33" t="s">
        <v>56</v>
      </c>
      <c r="F29" s="35" t="s">
        <v>57</v>
      </c>
      <c r="G29" s="36" t="s">
        <v>43</v>
      </c>
      <c r="H29" s="38">
        <v>1</v>
      </c>
      <c r="I29" s="38">
        <v>1</v>
      </c>
      <c r="J29" s="38">
        <v>1</v>
      </c>
      <c r="K29" s="38">
        <v>1</v>
      </c>
      <c r="L29" s="38">
        <v>1</v>
      </c>
      <c r="M29" s="38">
        <v>1</v>
      </c>
      <c r="N29" s="38">
        <v>1</v>
      </c>
      <c r="O29" s="38">
        <v>1</v>
      </c>
      <c r="P29" s="38">
        <v>1</v>
      </c>
      <c r="Q29" s="38">
        <v>1</v>
      </c>
      <c r="R29" s="38">
        <v>1</v>
      </c>
      <c r="S29" s="38">
        <v>1</v>
      </c>
      <c r="T29" s="39"/>
      <c r="U29" s="39"/>
      <c r="V29" s="39"/>
      <c r="W29" s="39"/>
      <c r="X29" s="39"/>
      <c r="Y29" s="39"/>
      <c r="Z29" s="39"/>
      <c r="AA29" s="39"/>
      <c r="AB29" s="39"/>
      <c r="AC29" s="39"/>
    </row>
    <row r="30" spans="1:29" ht="14" customHeight="1">
      <c r="A30" s="33" t="s">
        <v>58</v>
      </c>
      <c r="B30" s="34">
        <v>3</v>
      </c>
      <c r="C30" s="33" t="s">
        <v>54</v>
      </c>
      <c r="D30" s="33">
        <v>4</v>
      </c>
      <c r="E30" s="33" t="s">
        <v>56</v>
      </c>
      <c r="F30" s="35" t="s">
        <v>57</v>
      </c>
      <c r="G30" s="36" t="s">
        <v>43</v>
      </c>
      <c r="H30" s="38">
        <v>1</v>
      </c>
      <c r="I30" s="38">
        <v>1</v>
      </c>
      <c r="J30" s="38">
        <v>1</v>
      </c>
      <c r="K30" s="38">
        <v>1</v>
      </c>
      <c r="L30" s="38">
        <v>1</v>
      </c>
      <c r="M30" s="38">
        <v>1</v>
      </c>
      <c r="N30" s="38">
        <v>1</v>
      </c>
      <c r="O30" s="38">
        <v>1</v>
      </c>
      <c r="P30" s="38">
        <v>1</v>
      </c>
      <c r="Q30" s="38">
        <v>1</v>
      </c>
      <c r="R30" s="38">
        <v>1</v>
      </c>
      <c r="S30" s="38">
        <v>1</v>
      </c>
      <c r="T30" s="39"/>
      <c r="U30" s="39"/>
      <c r="V30" s="39"/>
      <c r="W30" s="39"/>
      <c r="X30" s="39"/>
      <c r="Y30" s="39"/>
      <c r="Z30" s="39"/>
      <c r="AA30" s="39"/>
      <c r="AB30" s="39"/>
      <c r="AC30" s="39"/>
    </row>
    <row r="31" spans="1:29" ht="13" customHeight="1">
      <c r="A31" s="32" t="s">
        <v>132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</row>
    <row r="32" spans="1:29" ht="14" customHeight="1">
      <c r="A32" s="33" t="s">
        <v>128</v>
      </c>
      <c r="B32" s="34">
        <v>4</v>
      </c>
      <c r="C32" s="33" t="s">
        <v>129</v>
      </c>
      <c r="D32" s="33">
        <v>4</v>
      </c>
      <c r="E32" s="33"/>
      <c r="F32" s="35" t="s">
        <v>133</v>
      </c>
      <c r="G32" s="36" t="s">
        <v>93</v>
      </c>
      <c r="H32" s="38">
        <v>1</v>
      </c>
      <c r="I32" s="38">
        <v>1</v>
      </c>
      <c r="J32" s="38">
        <v>1</v>
      </c>
      <c r="K32" s="38">
        <v>1</v>
      </c>
      <c r="L32" s="38">
        <v>1</v>
      </c>
      <c r="M32" s="38">
        <v>1</v>
      </c>
      <c r="N32" s="38">
        <v>1</v>
      </c>
      <c r="O32" s="38">
        <v>1</v>
      </c>
      <c r="P32" s="38">
        <v>1</v>
      </c>
      <c r="Q32" s="38">
        <v>1</v>
      </c>
      <c r="R32" s="38">
        <v>1</v>
      </c>
      <c r="S32" s="38">
        <v>1</v>
      </c>
      <c r="T32" s="38">
        <v>1</v>
      </c>
      <c r="U32" s="38">
        <v>1</v>
      </c>
      <c r="V32" s="38">
        <v>1</v>
      </c>
      <c r="W32" s="38">
        <v>1</v>
      </c>
      <c r="X32" s="38">
        <v>1</v>
      </c>
      <c r="Y32" s="38">
        <v>1</v>
      </c>
      <c r="Z32" s="38">
        <v>1</v>
      </c>
      <c r="AA32" s="38">
        <v>1</v>
      </c>
      <c r="AB32" s="38">
        <v>1</v>
      </c>
      <c r="AC32" s="38">
        <v>1</v>
      </c>
    </row>
    <row r="33" spans="1:29" ht="14" customHeight="1">
      <c r="A33" s="33" t="s">
        <v>128</v>
      </c>
      <c r="B33" s="34">
        <v>4</v>
      </c>
      <c r="C33" s="33" t="s">
        <v>129</v>
      </c>
      <c r="D33" s="33">
        <v>4</v>
      </c>
      <c r="E33" s="33"/>
      <c r="F33" s="35" t="s">
        <v>133</v>
      </c>
      <c r="G33" s="36" t="s">
        <v>93</v>
      </c>
      <c r="H33" s="39"/>
      <c r="I33" s="39"/>
      <c r="J33" s="38">
        <v>1</v>
      </c>
      <c r="K33" s="38">
        <v>1</v>
      </c>
      <c r="L33" s="38">
        <v>1</v>
      </c>
      <c r="M33" s="38">
        <v>1</v>
      </c>
      <c r="N33" s="38">
        <v>1</v>
      </c>
      <c r="O33" s="38">
        <v>1</v>
      </c>
      <c r="P33" s="38">
        <v>1</v>
      </c>
      <c r="Q33" s="38">
        <v>1</v>
      </c>
      <c r="R33" s="38">
        <v>1</v>
      </c>
      <c r="S33" s="38">
        <v>1</v>
      </c>
      <c r="T33" s="38">
        <v>1</v>
      </c>
      <c r="U33" s="38">
        <v>1</v>
      </c>
      <c r="V33" s="38">
        <v>1</v>
      </c>
      <c r="W33" s="38">
        <v>1</v>
      </c>
      <c r="X33" s="38">
        <v>1</v>
      </c>
      <c r="Y33" s="38">
        <v>1</v>
      </c>
      <c r="Z33" s="39"/>
      <c r="AA33" s="39"/>
      <c r="AB33" s="39"/>
      <c r="AC33" s="39"/>
    </row>
    <row r="34" spans="1:29" ht="14" customHeight="1">
      <c r="A34" s="33" t="s">
        <v>134</v>
      </c>
      <c r="B34" s="34">
        <v>4</v>
      </c>
      <c r="C34" s="33" t="s">
        <v>111</v>
      </c>
      <c r="D34" s="33">
        <v>5</v>
      </c>
      <c r="E34" s="33"/>
      <c r="F34" s="35"/>
      <c r="G34" s="36" t="s">
        <v>102</v>
      </c>
      <c r="H34" s="39"/>
      <c r="I34" s="39"/>
      <c r="J34" s="39"/>
      <c r="K34" s="38">
        <v>1</v>
      </c>
      <c r="L34" s="38">
        <v>1</v>
      </c>
      <c r="M34" s="38">
        <v>1</v>
      </c>
      <c r="N34" s="38">
        <v>1</v>
      </c>
      <c r="O34" s="38">
        <v>1</v>
      </c>
      <c r="P34" s="38">
        <v>1</v>
      </c>
      <c r="Q34" s="38">
        <v>1</v>
      </c>
      <c r="R34" s="38">
        <v>1</v>
      </c>
      <c r="S34" s="38">
        <v>1</v>
      </c>
      <c r="T34" s="38">
        <v>1</v>
      </c>
      <c r="U34" s="38">
        <v>1</v>
      </c>
      <c r="V34" s="38">
        <v>1</v>
      </c>
      <c r="W34" s="38">
        <v>1</v>
      </c>
      <c r="X34" s="39"/>
      <c r="Y34" s="39"/>
      <c r="Z34" s="39"/>
      <c r="AA34" s="39"/>
      <c r="AB34" s="39"/>
      <c r="AC34" s="39"/>
    </row>
    <row r="35" spans="1:29" ht="14" customHeight="1">
      <c r="A35" s="33" t="s">
        <v>135</v>
      </c>
      <c r="B35" s="34">
        <v>5</v>
      </c>
      <c r="C35" s="33" t="s">
        <v>136</v>
      </c>
      <c r="D35" s="33">
        <v>4</v>
      </c>
      <c r="E35" s="33"/>
      <c r="F35" s="35" t="s">
        <v>137</v>
      </c>
      <c r="G35" s="36" t="s">
        <v>93</v>
      </c>
      <c r="H35" s="39"/>
      <c r="I35" s="39"/>
      <c r="J35" s="39"/>
      <c r="K35" s="39"/>
      <c r="L35" s="39"/>
      <c r="M35" s="38">
        <v>1</v>
      </c>
      <c r="N35" s="38">
        <v>1</v>
      </c>
      <c r="O35" s="38">
        <v>1</v>
      </c>
      <c r="P35" s="38">
        <v>1</v>
      </c>
      <c r="Q35" s="38">
        <v>1</v>
      </c>
      <c r="R35" s="38">
        <v>1</v>
      </c>
      <c r="S35" s="38">
        <v>1</v>
      </c>
      <c r="T35" s="38">
        <v>1</v>
      </c>
      <c r="U35" s="38">
        <v>1</v>
      </c>
      <c r="V35" s="38">
        <v>1</v>
      </c>
      <c r="W35" s="38">
        <v>1</v>
      </c>
      <c r="X35" s="38">
        <v>1</v>
      </c>
      <c r="Y35" s="38">
        <v>1</v>
      </c>
      <c r="Z35" s="38">
        <v>1</v>
      </c>
      <c r="AA35" s="38">
        <v>1</v>
      </c>
      <c r="AB35" s="39"/>
      <c r="AC35" s="39"/>
    </row>
    <row r="36" spans="1:29" ht="13" customHeight="1">
      <c r="A36" s="32" t="s">
        <v>138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</row>
    <row r="37" spans="1:29" ht="14" customHeight="1">
      <c r="A37" s="33" t="s">
        <v>128</v>
      </c>
      <c r="B37" s="34">
        <v>4</v>
      </c>
      <c r="C37" s="33" t="s">
        <v>129</v>
      </c>
      <c r="D37" s="33">
        <v>4</v>
      </c>
      <c r="E37" s="33"/>
      <c r="F37" s="35" t="s">
        <v>139</v>
      </c>
      <c r="G37" s="36" t="s">
        <v>93</v>
      </c>
      <c r="H37" s="38">
        <v>1</v>
      </c>
      <c r="I37" s="38">
        <v>1</v>
      </c>
      <c r="J37" s="38">
        <v>1</v>
      </c>
      <c r="K37" s="38">
        <v>1</v>
      </c>
      <c r="L37" s="38">
        <v>1</v>
      </c>
      <c r="M37" s="38">
        <v>1</v>
      </c>
      <c r="N37" s="38">
        <v>1</v>
      </c>
      <c r="O37" s="38">
        <v>1</v>
      </c>
      <c r="P37" s="38">
        <v>1</v>
      </c>
      <c r="Q37" s="38">
        <v>1</v>
      </c>
      <c r="R37" s="38">
        <v>1</v>
      </c>
      <c r="S37" s="38">
        <v>1</v>
      </c>
      <c r="T37" s="38">
        <v>1</v>
      </c>
      <c r="U37" s="38">
        <v>1</v>
      </c>
      <c r="V37" s="38">
        <v>1</v>
      </c>
      <c r="W37" s="38">
        <v>1</v>
      </c>
      <c r="X37" s="38">
        <v>1</v>
      </c>
      <c r="Y37" s="38">
        <v>1</v>
      </c>
      <c r="Z37" s="38">
        <v>1</v>
      </c>
      <c r="AA37" s="38">
        <v>1</v>
      </c>
      <c r="AB37" s="38">
        <v>1</v>
      </c>
      <c r="AC37" s="38">
        <v>1</v>
      </c>
    </row>
    <row r="38" spans="1:29" ht="14" customHeight="1">
      <c r="A38" s="33" t="s">
        <v>128</v>
      </c>
      <c r="B38" s="34">
        <v>6</v>
      </c>
      <c r="C38" s="33" t="s">
        <v>130</v>
      </c>
      <c r="D38" s="33">
        <v>3</v>
      </c>
      <c r="E38" s="33"/>
      <c r="F38" s="35" t="s">
        <v>139</v>
      </c>
      <c r="G38" s="36" t="s">
        <v>93</v>
      </c>
      <c r="H38" s="39"/>
      <c r="I38" s="39"/>
      <c r="J38" s="38">
        <v>1</v>
      </c>
      <c r="K38" s="38">
        <v>1</v>
      </c>
      <c r="L38" s="38">
        <v>1</v>
      </c>
      <c r="M38" s="38">
        <v>1</v>
      </c>
      <c r="N38" s="38">
        <v>1</v>
      </c>
      <c r="O38" s="38">
        <v>1</v>
      </c>
      <c r="P38" s="38">
        <v>1</v>
      </c>
      <c r="Q38" s="38">
        <v>1</v>
      </c>
      <c r="R38" s="38">
        <v>1</v>
      </c>
      <c r="S38" s="38">
        <v>1</v>
      </c>
      <c r="T38" s="38">
        <v>1</v>
      </c>
      <c r="U38" s="38">
        <v>1</v>
      </c>
      <c r="V38" s="38">
        <v>1</v>
      </c>
      <c r="W38" s="38">
        <v>1</v>
      </c>
      <c r="X38" s="38">
        <v>1</v>
      </c>
      <c r="Y38" s="38">
        <v>1</v>
      </c>
      <c r="Z38" s="39"/>
      <c r="AA38" s="39"/>
      <c r="AB38" s="39"/>
      <c r="AC38" s="39"/>
    </row>
    <row r="39" spans="1:29" ht="14" customHeight="1">
      <c r="A39" s="33" t="s">
        <v>135</v>
      </c>
      <c r="B39" s="34">
        <v>5</v>
      </c>
      <c r="C39" s="33" t="s">
        <v>136</v>
      </c>
      <c r="D39" s="33">
        <v>4</v>
      </c>
      <c r="E39" s="33"/>
      <c r="F39" s="35" t="s">
        <v>139</v>
      </c>
      <c r="G39" s="36" t="s">
        <v>102</v>
      </c>
      <c r="H39" s="39"/>
      <c r="I39" s="39"/>
      <c r="J39" s="39"/>
      <c r="K39" s="39"/>
      <c r="L39" s="39"/>
      <c r="M39" s="38">
        <v>1</v>
      </c>
      <c r="N39" s="38">
        <v>1</v>
      </c>
      <c r="O39" s="38">
        <v>1</v>
      </c>
      <c r="P39" s="38">
        <v>1</v>
      </c>
      <c r="Q39" s="38">
        <v>1</v>
      </c>
      <c r="R39" s="38">
        <v>1</v>
      </c>
      <c r="S39" s="38">
        <v>1</v>
      </c>
      <c r="T39" s="38">
        <v>1</v>
      </c>
      <c r="U39" s="38">
        <v>1</v>
      </c>
      <c r="V39" s="38">
        <v>1</v>
      </c>
      <c r="W39" s="38">
        <v>1</v>
      </c>
      <c r="X39" s="38">
        <v>1</v>
      </c>
      <c r="Y39" s="38">
        <v>1</v>
      </c>
      <c r="Z39" s="38">
        <v>1</v>
      </c>
      <c r="AA39" s="38">
        <v>1</v>
      </c>
      <c r="AB39" s="39"/>
      <c r="AC39" s="39"/>
    </row>
    <row r="40" spans="1:29" ht="13" customHeight="1">
      <c r="A40" s="32" t="s">
        <v>140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</row>
    <row r="41" spans="1:29" ht="14" customHeight="1">
      <c r="A41" s="33" t="s">
        <v>128</v>
      </c>
      <c r="B41" s="34">
        <v>3</v>
      </c>
      <c r="C41" s="33" t="s">
        <v>141</v>
      </c>
      <c r="D41" s="33">
        <v>5</v>
      </c>
      <c r="E41" s="33" t="s">
        <v>142</v>
      </c>
      <c r="F41" s="35" t="s">
        <v>143</v>
      </c>
      <c r="G41" s="36" t="s">
        <v>93</v>
      </c>
      <c r="H41" s="38">
        <v>1</v>
      </c>
      <c r="I41" s="38">
        <v>1</v>
      </c>
      <c r="J41" s="38">
        <v>1</v>
      </c>
      <c r="K41" s="38">
        <v>1</v>
      </c>
      <c r="L41" s="38">
        <v>1</v>
      </c>
      <c r="M41" s="38">
        <v>1</v>
      </c>
      <c r="N41" s="38">
        <v>1</v>
      </c>
      <c r="O41" s="38">
        <v>1</v>
      </c>
      <c r="P41" s="38">
        <v>1</v>
      </c>
      <c r="Q41" s="38">
        <v>1</v>
      </c>
      <c r="R41" s="38">
        <v>1</v>
      </c>
      <c r="S41" s="38">
        <v>1</v>
      </c>
      <c r="T41" s="38">
        <v>1</v>
      </c>
      <c r="U41" s="38">
        <v>1</v>
      </c>
      <c r="V41" s="38">
        <v>1</v>
      </c>
      <c r="W41" s="38">
        <v>1</v>
      </c>
      <c r="X41" s="38">
        <v>1</v>
      </c>
      <c r="Y41" s="38">
        <v>1</v>
      </c>
      <c r="Z41" s="38">
        <v>1</v>
      </c>
      <c r="AA41" s="38">
        <v>1</v>
      </c>
      <c r="AB41" s="38">
        <v>1</v>
      </c>
      <c r="AC41" s="38">
        <v>1</v>
      </c>
    </row>
    <row r="42" spans="1:29" ht="14" customHeight="1">
      <c r="A42" s="33" t="s">
        <v>128</v>
      </c>
      <c r="B42" s="34">
        <v>4</v>
      </c>
      <c r="C42" s="33" t="s">
        <v>129</v>
      </c>
      <c r="D42" s="33">
        <v>4</v>
      </c>
      <c r="E42" s="33"/>
      <c r="F42" s="35" t="s">
        <v>143</v>
      </c>
      <c r="G42" s="36" t="s">
        <v>93</v>
      </c>
      <c r="H42" s="39"/>
      <c r="I42" s="39"/>
      <c r="J42" s="39"/>
      <c r="K42" s="39"/>
      <c r="L42" s="38">
        <v>1</v>
      </c>
      <c r="M42" s="38">
        <v>1</v>
      </c>
      <c r="N42" s="38">
        <v>1</v>
      </c>
      <c r="O42" s="38">
        <v>1</v>
      </c>
      <c r="P42" s="38">
        <v>1</v>
      </c>
      <c r="Q42" s="38">
        <v>1</v>
      </c>
      <c r="R42" s="38">
        <v>1</v>
      </c>
      <c r="S42" s="38">
        <v>1</v>
      </c>
      <c r="T42" s="38">
        <v>1</v>
      </c>
      <c r="U42" s="38">
        <v>1</v>
      </c>
      <c r="V42" s="38">
        <v>1</v>
      </c>
      <c r="W42" s="38">
        <v>1</v>
      </c>
      <c r="X42" s="38">
        <v>1</v>
      </c>
      <c r="Y42" s="38">
        <v>1</v>
      </c>
      <c r="Z42" s="39"/>
      <c r="AA42" s="39"/>
      <c r="AB42" s="39"/>
      <c r="AC42" s="39"/>
    </row>
    <row r="43" spans="1:29" ht="14" customHeight="1">
      <c r="A43" s="40" t="s">
        <v>128</v>
      </c>
      <c r="B43" s="41">
        <v>5</v>
      </c>
      <c r="C43" s="40" t="s">
        <v>130</v>
      </c>
      <c r="D43" s="40">
        <v>3</v>
      </c>
      <c r="E43" s="40"/>
      <c r="F43" s="42" t="s">
        <v>127</v>
      </c>
      <c r="G43" s="43" t="s">
        <v>102</v>
      </c>
      <c r="H43" s="39"/>
      <c r="I43" s="39"/>
      <c r="J43" s="39"/>
      <c r="K43" s="39"/>
      <c r="L43" s="39"/>
      <c r="M43" s="38">
        <v>1</v>
      </c>
      <c r="N43" s="38">
        <v>1</v>
      </c>
      <c r="O43" s="38">
        <v>1</v>
      </c>
      <c r="P43" s="38">
        <v>1</v>
      </c>
      <c r="Q43" s="38">
        <v>1</v>
      </c>
      <c r="R43" s="38">
        <v>1</v>
      </c>
      <c r="S43" s="38">
        <v>1</v>
      </c>
      <c r="T43" s="38">
        <v>1</v>
      </c>
      <c r="U43" s="38">
        <v>1</v>
      </c>
      <c r="V43" s="38">
        <v>1</v>
      </c>
      <c r="W43" s="38">
        <v>1</v>
      </c>
      <c r="X43" s="38">
        <v>1</v>
      </c>
      <c r="Y43" s="38">
        <v>1</v>
      </c>
      <c r="Z43" s="38">
        <v>1</v>
      </c>
      <c r="AA43" s="38">
        <v>1</v>
      </c>
      <c r="AB43" s="39"/>
      <c r="AC43" s="39"/>
    </row>
    <row r="44" spans="1:29" ht="13" customHeight="1">
      <c r="A44" s="32" t="s">
        <v>144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</row>
    <row r="45" spans="1:29" ht="14" customHeight="1">
      <c r="A45" s="33" t="s">
        <v>145</v>
      </c>
      <c r="B45" s="34">
        <v>3</v>
      </c>
      <c r="C45" s="33" t="s">
        <v>145</v>
      </c>
      <c r="D45" s="33">
        <v>4</v>
      </c>
      <c r="E45" s="33"/>
      <c r="F45" s="35" t="s">
        <v>146</v>
      </c>
      <c r="G45" s="36" t="s">
        <v>102</v>
      </c>
      <c r="H45" s="39"/>
      <c r="I45" s="39"/>
      <c r="J45" s="38">
        <v>1</v>
      </c>
      <c r="K45" s="38">
        <v>1</v>
      </c>
      <c r="L45" s="38">
        <v>1</v>
      </c>
      <c r="M45" s="38">
        <v>1</v>
      </c>
      <c r="N45" s="38">
        <v>1</v>
      </c>
      <c r="O45" s="38">
        <v>1</v>
      </c>
      <c r="P45" s="38">
        <v>1</v>
      </c>
      <c r="Q45" s="38">
        <v>1</v>
      </c>
      <c r="R45" s="38">
        <v>1</v>
      </c>
      <c r="S45" s="38">
        <v>1</v>
      </c>
      <c r="T45" s="38">
        <v>1</v>
      </c>
      <c r="U45" s="38">
        <v>1</v>
      </c>
      <c r="V45" s="39"/>
      <c r="W45" s="39"/>
      <c r="X45" s="39"/>
      <c r="Y45" s="39"/>
      <c r="Z45" s="39"/>
      <c r="AA45" s="39"/>
      <c r="AB45" s="39"/>
      <c r="AC45" s="39"/>
    </row>
    <row r="46" spans="1:29" ht="14" customHeight="1">
      <c r="A46" s="33" t="s">
        <v>110</v>
      </c>
      <c r="B46" s="34">
        <v>4</v>
      </c>
      <c r="C46" s="33" t="s">
        <v>147</v>
      </c>
      <c r="D46" s="33">
        <v>4</v>
      </c>
      <c r="E46" s="33"/>
      <c r="F46" s="35" t="s">
        <v>146</v>
      </c>
      <c r="G46" s="36" t="s">
        <v>102</v>
      </c>
      <c r="H46" s="39"/>
      <c r="I46" s="39"/>
      <c r="J46" s="38">
        <v>1</v>
      </c>
      <c r="K46" s="38">
        <v>1</v>
      </c>
      <c r="L46" s="38">
        <v>1</v>
      </c>
      <c r="M46" s="38">
        <v>1</v>
      </c>
      <c r="N46" s="38">
        <v>1</v>
      </c>
      <c r="O46" s="38">
        <v>1</v>
      </c>
      <c r="P46" s="38">
        <v>1</v>
      </c>
      <c r="Q46" s="38">
        <v>1</v>
      </c>
      <c r="R46" s="38">
        <v>1</v>
      </c>
      <c r="S46" s="38">
        <v>1</v>
      </c>
      <c r="T46" s="38">
        <v>1</v>
      </c>
      <c r="U46" s="38">
        <v>1</v>
      </c>
      <c r="V46" s="39"/>
      <c r="W46" s="39"/>
      <c r="X46" s="39"/>
      <c r="Y46" s="39"/>
      <c r="Z46" s="39"/>
      <c r="AA46" s="39"/>
      <c r="AB46" s="39"/>
      <c r="AC46" s="39"/>
    </row>
    <row r="47" spans="1:29" ht="22" customHeight="1">
      <c r="A47" s="31" t="s">
        <v>148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1:29" ht="13" customHeight="1">
      <c r="A48" s="32" t="s">
        <v>149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</row>
    <row r="49" spans="1:29" ht="14" customHeight="1">
      <c r="A49" s="33" t="s">
        <v>59</v>
      </c>
      <c r="B49" s="34">
        <v>2</v>
      </c>
      <c r="C49" s="33" t="s">
        <v>48</v>
      </c>
      <c r="D49" s="33">
        <v>6</v>
      </c>
      <c r="E49" s="33"/>
      <c r="F49" s="35" t="s">
        <v>60</v>
      </c>
      <c r="G49" s="36" t="s">
        <v>43</v>
      </c>
      <c r="H49" s="39"/>
      <c r="I49" s="39"/>
      <c r="J49" s="39"/>
      <c r="K49" s="39"/>
      <c r="L49" s="38">
        <v>1</v>
      </c>
      <c r="M49" s="38">
        <v>1</v>
      </c>
      <c r="N49" s="38">
        <v>1</v>
      </c>
      <c r="O49" s="38">
        <v>1</v>
      </c>
      <c r="P49" s="38">
        <v>1</v>
      </c>
      <c r="Q49" s="38">
        <v>1</v>
      </c>
      <c r="R49" s="38">
        <v>1</v>
      </c>
      <c r="S49" s="38">
        <v>1</v>
      </c>
      <c r="T49" s="38">
        <v>1</v>
      </c>
      <c r="U49" s="38">
        <v>1</v>
      </c>
      <c r="V49" s="38">
        <v>1</v>
      </c>
      <c r="W49" s="38">
        <v>1</v>
      </c>
      <c r="X49" s="38">
        <v>1</v>
      </c>
      <c r="Y49" s="38">
        <v>1</v>
      </c>
      <c r="Z49" s="38">
        <v>1</v>
      </c>
      <c r="AA49" s="38">
        <v>1</v>
      </c>
      <c r="AB49" s="38">
        <v>1</v>
      </c>
      <c r="AC49" s="38">
        <v>1</v>
      </c>
    </row>
    <row r="50" spans="1:29" ht="14" customHeight="1">
      <c r="A50" s="33" t="s">
        <v>119</v>
      </c>
      <c r="B50" s="34">
        <v>2</v>
      </c>
      <c r="C50" s="33" t="s">
        <v>120</v>
      </c>
      <c r="D50" s="33">
        <v>6</v>
      </c>
      <c r="E50" s="33" t="s">
        <v>150</v>
      </c>
      <c r="F50" s="35" t="s">
        <v>151</v>
      </c>
      <c r="G50" s="36" t="s">
        <v>102</v>
      </c>
      <c r="H50" s="39"/>
      <c r="I50" s="39"/>
      <c r="J50" s="39"/>
      <c r="K50" s="39"/>
      <c r="L50" s="38">
        <v>1</v>
      </c>
      <c r="M50" s="38">
        <v>1</v>
      </c>
      <c r="N50" s="38">
        <v>1</v>
      </c>
      <c r="O50" s="38">
        <v>1</v>
      </c>
      <c r="P50" s="38">
        <v>1</v>
      </c>
      <c r="Q50" s="38">
        <v>1</v>
      </c>
      <c r="R50" s="38">
        <v>1</v>
      </c>
      <c r="S50" s="38">
        <v>1</v>
      </c>
      <c r="T50" s="38">
        <v>1</v>
      </c>
      <c r="U50" s="38">
        <v>1</v>
      </c>
      <c r="V50" s="38">
        <v>1</v>
      </c>
      <c r="W50" s="38">
        <v>1</v>
      </c>
      <c r="X50" s="38">
        <v>1</v>
      </c>
      <c r="Y50" s="38">
        <v>1</v>
      </c>
      <c r="Z50" s="38">
        <v>1</v>
      </c>
      <c r="AA50" s="38">
        <v>1</v>
      </c>
      <c r="AB50" s="39"/>
      <c r="AC50" s="39"/>
    </row>
    <row r="51" spans="1:29" ht="14" customHeight="1">
      <c r="A51" s="33" t="s">
        <v>61</v>
      </c>
      <c r="B51" s="34">
        <v>2</v>
      </c>
      <c r="C51" s="33" t="s">
        <v>62</v>
      </c>
      <c r="D51" s="33">
        <v>5</v>
      </c>
      <c r="E51" s="33" t="s">
        <v>63</v>
      </c>
      <c r="F51" s="35" t="s">
        <v>60</v>
      </c>
      <c r="G51" s="36" t="s">
        <v>43</v>
      </c>
      <c r="H51" s="39"/>
      <c r="I51" s="39"/>
      <c r="J51" s="39"/>
      <c r="K51" s="39"/>
      <c r="L51" s="38">
        <v>1</v>
      </c>
      <c r="M51" s="38">
        <v>1</v>
      </c>
      <c r="N51" s="38">
        <v>1</v>
      </c>
      <c r="O51" s="38">
        <v>1</v>
      </c>
      <c r="P51" s="38">
        <v>1</v>
      </c>
      <c r="Q51" s="38">
        <v>1</v>
      </c>
      <c r="R51" s="38">
        <v>1</v>
      </c>
      <c r="S51" s="38">
        <v>1</v>
      </c>
      <c r="T51" s="38">
        <v>1</v>
      </c>
      <c r="U51" s="38">
        <v>1</v>
      </c>
      <c r="V51" s="38">
        <v>1</v>
      </c>
      <c r="W51" s="38">
        <v>1</v>
      </c>
      <c r="X51" s="38">
        <v>1</v>
      </c>
      <c r="Y51" s="38">
        <v>1</v>
      </c>
      <c r="Z51" s="38">
        <v>1</v>
      </c>
      <c r="AA51" s="38">
        <v>1</v>
      </c>
      <c r="AB51" s="39"/>
      <c r="AC51" s="39"/>
    </row>
    <row r="52" spans="1:29" ht="13" customHeight="1">
      <c r="A52" s="32" t="s">
        <v>152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</row>
    <row r="53" spans="1:29" ht="14" customHeight="1">
      <c r="A53" s="33" t="s">
        <v>128</v>
      </c>
      <c r="B53" s="34">
        <v>4</v>
      </c>
      <c r="C53" s="33" t="s">
        <v>129</v>
      </c>
      <c r="D53" s="33">
        <v>4</v>
      </c>
      <c r="E53" s="33"/>
      <c r="F53" s="35" t="s">
        <v>153</v>
      </c>
      <c r="G53" s="36" t="s">
        <v>93</v>
      </c>
      <c r="H53" s="39"/>
      <c r="I53" s="39"/>
      <c r="J53" s="39"/>
      <c r="K53" s="39"/>
      <c r="L53" s="38">
        <v>1</v>
      </c>
      <c r="M53" s="38">
        <v>1</v>
      </c>
      <c r="N53" s="38">
        <v>1</v>
      </c>
      <c r="O53" s="38">
        <v>1</v>
      </c>
      <c r="P53" s="38">
        <v>1</v>
      </c>
      <c r="Q53" s="38">
        <v>1</v>
      </c>
      <c r="R53" s="38">
        <v>1</v>
      </c>
      <c r="S53" s="38">
        <v>1</v>
      </c>
      <c r="T53" s="38">
        <v>1</v>
      </c>
      <c r="U53" s="38">
        <v>1</v>
      </c>
      <c r="V53" s="38">
        <v>1</v>
      </c>
      <c r="W53" s="38">
        <v>1</v>
      </c>
      <c r="X53" s="38">
        <v>1</v>
      </c>
      <c r="Y53" s="38">
        <v>1</v>
      </c>
      <c r="Z53" s="38">
        <v>1</v>
      </c>
      <c r="AA53" s="38">
        <v>1</v>
      </c>
      <c r="AB53" s="38">
        <v>1</v>
      </c>
      <c r="AC53" s="38">
        <v>1</v>
      </c>
    </row>
    <row r="54" spans="1:29" ht="14" customHeight="1">
      <c r="A54" s="33" t="s">
        <v>128</v>
      </c>
      <c r="B54" s="34">
        <v>5</v>
      </c>
      <c r="C54" s="33" t="s">
        <v>130</v>
      </c>
      <c r="D54" s="33">
        <v>3</v>
      </c>
      <c r="E54" s="33"/>
      <c r="F54" s="35" t="s">
        <v>153</v>
      </c>
      <c r="G54" s="36" t="s">
        <v>93</v>
      </c>
      <c r="H54" s="39"/>
      <c r="I54" s="39"/>
      <c r="J54" s="39"/>
      <c r="K54" s="39"/>
      <c r="L54" s="39"/>
      <c r="M54" s="39"/>
      <c r="N54" s="39"/>
      <c r="O54" s="39"/>
      <c r="P54" s="38">
        <v>1</v>
      </c>
      <c r="Q54" s="38">
        <v>1</v>
      </c>
      <c r="R54" s="38">
        <v>1</v>
      </c>
      <c r="S54" s="38">
        <v>1</v>
      </c>
      <c r="T54" s="38">
        <v>1</v>
      </c>
      <c r="U54" s="38">
        <v>1</v>
      </c>
      <c r="V54" s="38">
        <v>1</v>
      </c>
      <c r="W54" s="38">
        <v>1</v>
      </c>
      <c r="X54" s="38">
        <v>1</v>
      </c>
      <c r="Y54" s="38">
        <v>1</v>
      </c>
      <c r="Z54" s="38">
        <v>1</v>
      </c>
      <c r="AA54" s="38">
        <v>1</v>
      </c>
      <c r="AB54" s="39"/>
      <c r="AC54" s="39"/>
    </row>
    <row r="55" spans="1:29" ht="14" customHeight="1">
      <c r="A55" s="40" t="s">
        <v>128</v>
      </c>
      <c r="B55" s="41">
        <v>5</v>
      </c>
      <c r="C55" s="40" t="s">
        <v>130</v>
      </c>
      <c r="D55" s="40">
        <v>3</v>
      </c>
      <c r="E55" s="40"/>
      <c r="F55" s="42" t="s">
        <v>127</v>
      </c>
      <c r="G55" s="43" t="s">
        <v>102</v>
      </c>
      <c r="H55" s="39"/>
      <c r="I55" s="39"/>
      <c r="J55" s="39"/>
      <c r="K55" s="39"/>
      <c r="L55" s="39"/>
      <c r="M55" s="39"/>
      <c r="N55" s="39"/>
      <c r="O55" s="39"/>
      <c r="P55" s="38">
        <v>1</v>
      </c>
      <c r="Q55" s="38">
        <v>1</v>
      </c>
      <c r="R55" s="38">
        <v>1</v>
      </c>
      <c r="S55" s="38">
        <v>1</v>
      </c>
      <c r="T55" s="38">
        <v>1</v>
      </c>
      <c r="U55" s="38">
        <v>1</v>
      </c>
      <c r="V55" s="38">
        <v>1</v>
      </c>
      <c r="W55" s="38">
        <v>1</v>
      </c>
      <c r="X55" s="38">
        <v>1</v>
      </c>
      <c r="Y55" s="38">
        <v>1</v>
      </c>
      <c r="Z55" s="38">
        <v>1</v>
      </c>
      <c r="AA55" s="38">
        <v>1</v>
      </c>
      <c r="AB55" s="39"/>
      <c r="AC55" s="39"/>
    </row>
    <row r="56" spans="1:29" ht="13" customHeight="1">
      <c r="A56" s="32" t="s">
        <v>154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</row>
    <row r="57" spans="1:29" ht="14" customHeight="1">
      <c r="A57" s="33" t="s">
        <v>128</v>
      </c>
      <c r="B57" s="34">
        <v>4</v>
      </c>
      <c r="C57" s="33" t="s">
        <v>129</v>
      </c>
      <c r="D57" s="33">
        <v>4</v>
      </c>
      <c r="E57" s="33"/>
      <c r="F57" s="35" t="s">
        <v>155</v>
      </c>
      <c r="G57" s="36" t="s">
        <v>93</v>
      </c>
      <c r="H57" s="39"/>
      <c r="I57" s="39"/>
      <c r="J57" s="39"/>
      <c r="K57" s="39"/>
      <c r="L57" s="39"/>
      <c r="M57" s="39"/>
      <c r="N57" s="38">
        <v>1</v>
      </c>
      <c r="O57" s="38">
        <v>1</v>
      </c>
      <c r="P57" s="38">
        <v>1</v>
      </c>
      <c r="Q57" s="38">
        <v>1</v>
      </c>
      <c r="R57" s="38">
        <v>1</v>
      </c>
      <c r="S57" s="38">
        <v>1</v>
      </c>
      <c r="T57" s="38">
        <v>1</v>
      </c>
      <c r="U57" s="38">
        <v>1</v>
      </c>
      <c r="V57" s="38">
        <v>1</v>
      </c>
      <c r="W57" s="38">
        <v>1</v>
      </c>
      <c r="X57" s="38">
        <v>1</v>
      </c>
      <c r="Y57" s="38">
        <v>1</v>
      </c>
      <c r="Z57" s="38">
        <v>1</v>
      </c>
      <c r="AA57" s="38">
        <v>1</v>
      </c>
      <c r="AB57" s="38">
        <v>1</v>
      </c>
      <c r="AC57" s="38">
        <v>1</v>
      </c>
    </row>
    <row r="58" spans="1:29" ht="14" customHeight="1">
      <c r="A58" s="33" t="s">
        <v>128</v>
      </c>
      <c r="B58" s="34">
        <v>5</v>
      </c>
      <c r="C58" s="33" t="s">
        <v>130</v>
      </c>
      <c r="D58" s="33">
        <v>3</v>
      </c>
      <c r="E58" s="33"/>
      <c r="F58" s="35" t="s">
        <v>155</v>
      </c>
      <c r="G58" s="36" t="s">
        <v>93</v>
      </c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8">
        <v>1</v>
      </c>
      <c r="S58" s="38">
        <v>1</v>
      </c>
      <c r="T58" s="38">
        <v>1</v>
      </c>
      <c r="U58" s="38">
        <v>1</v>
      </c>
      <c r="V58" s="38">
        <v>1</v>
      </c>
      <c r="W58" s="38">
        <v>1</v>
      </c>
      <c r="X58" s="38">
        <v>1</v>
      </c>
      <c r="Y58" s="38">
        <v>1</v>
      </c>
      <c r="Z58" s="38">
        <v>1</v>
      </c>
      <c r="AA58" s="38">
        <v>1</v>
      </c>
      <c r="AB58" s="39"/>
      <c r="AC58" s="39"/>
    </row>
    <row r="59" spans="1:29" ht="14" customHeight="1">
      <c r="A59" s="40" t="s">
        <v>128</v>
      </c>
      <c r="B59" s="41">
        <v>5</v>
      </c>
      <c r="C59" s="40" t="s">
        <v>130</v>
      </c>
      <c r="D59" s="40">
        <v>3</v>
      </c>
      <c r="E59" s="40"/>
      <c r="F59" s="42" t="s">
        <v>127</v>
      </c>
      <c r="G59" s="43" t="s">
        <v>102</v>
      </c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8">
        <v>1</v>
      </c>
      <c r="S59" s="38">
        <v>1</v>
      </c>
      <c r="T59" s="38">
        <v>1</v>
      </c>
      <c r="U59" s="38">
        <v>1</v>
      </c>
      <c r="V59" s="38">
        <v>1</v>
      </c>
      <c r="W59" s="38">
        <v>1</v>
      </c>
      <c r="X59" s="38">
        <v>1</v>
      </c>
      <c r="Y59" s="38">
        <v>1</v>
      </c>
      <c r="Z59" s="38">
        <v>1</v>
      </c>
      <c r="AA59" s="38">
        <v>1</v>
      </c>
      <c r="AB59" s="39"/>
      <c r="AC59" s="39"/>
    </row>
    <row r="60" spans="1:29" ht="13" customHeight="1">
      <c r="A60" s="32" t="s">
        <v>156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</row>
    <row r="61" spans="1:29" ht="14" customHeight="1">
      <c r="A61" s="33" t="s">
        <v>128</v>
      </c>
      <c r="B61" s="34">
        <v>4</v>
      </c>
      <c r="C61" s="33" t="s">
        <v>129</v>
      </c>
      <c r="D61" s="33">
        <v>4</v>
      </c>
      <c r="E61" s="33"/>
      <c r="F61" s="35" t="s">
        <v>157</v>
      </c>
      <c r="G61" s="36" t="s">
        <v>93</v>
      </c>
      <c r="H61" s="39"/>
      <c r="I61" s="39"/>
      <c r="J61" s="39"/>
      <c r="K61" s="39"/>
      <c r="L61" s="39"/>
      <c r="M61" s="39"/>
      <c r="N61" s="39"/>
      <c r="O61" s="39"/>
      <c r="P61" s="38">
        <v>1</v>
      </c>
      <c r="Q61" s="38">
        <v>1</v>
      </c>
      <c r="R61" s="38">
        <v>1</v>
      </c>
      <c r="S61" s="38">
        <v>1</v>
      </c>
      <c r="T61" s="38">
        <v>1</v>
      </c>
      <c r="U61" s="38">
        <v>1</v>
      </c>
      <c r="V61" s="38">
        <v>1</v>
      </c>
      <c r="W61" s="38">
        <v>1</v>
      </c>
      <c r="X61" s="38">
        <v>1</v>
      </c>
      <c r="Y61" s="38">
        <v>1</v>
      </c>
      <c r="Z61" s="38">
        <v>1</v>
      </c>
      <c r="AA61" s="38">
        <v>1</v>
      </c>
      <c r="AB61" s="38">
        <v>1</v>
      </c>
      <c r="AC61" s="38">
        <v>1</v>
      </c>
    </row>
    <row r="62" spans="1:29" ht="14" customHeight="1">
      <c r="A62" s="33" t="s">
        <v>128</v>
      </c>
      <c r="B62" s="34">
        <v>5</v>
      </c>
      <c r="C62" s="33" t="s">
        <v>130</v>
      </c>
      <c r="D62" s="33">
        <v>3</v>
      </c>
      <c r="E62" s="33"/>
      <c r="F62" s="35" t="s">
        <v>157</v>
      </c>
      <c r="G62" s="36" t="s">
        <v>93</v>
      </c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8">
        <v>1</v>
      </c>
      <c r="S62" s="38">
        <v>1</v>
      </c>
      <c r="T62" s="38">
        <v>1</v>
      </c>
      <c r="U62" s="38">
        <v>1</v>
      </c>
      <c r="V62" s="38">
        <v>1</v>
      </c>
      <c r="W62" s="38">
        <v>1</v>
      </c>
      <c r="X62" s="38">
        <v>1</v>
      </c>
      <c r="Y62" s="38">
        <v>1</v>
      </c>
      <c r="Z62" s="38">
        <v>1</v>
      </c>
      <c r="AA62" s="38">
        <v>1</v>
      </c>
      <c r="AB62" s="39"/>
      <c r="AC62" s="39"/>
    </row>
    <row r="63" spans="1:29" ht="14" customHeight="1">
      <c r="A63" s="40" t="s">
        <v>128</v>
      </c>
      <c r="B63" s="41">
        <v>5</v>
      </c>
      <c r="C63" s="40" t="s">
        <v>130</v>
      </c>
      <c r="D63" s="40">
        <v>3</v>
      </c>
      <c r="E63" s="40"/>
      <c r="F63" s="42" t="s">
        <v>127</v>
      </c>
      <c r="G63" s="43" t="s">
        <v>102</v>
      </c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8">
        <v>1</v>
      </c>
      <c r="S63" s="38">
        <v>1</v>
      </c>
      <c r="T63" s="38">
        <v>1</v>
      </c>
      <c r="U63" s="38">
        <v>1</v>
      </c>
      <c r="V63" s="38">
        <v>1</v>
      </c>
      <c r="W63" s="38">
        <v>1</v>
      </c>
      <c r="X63" s="38">
        <v>1</v>
      </c>
      <c r="Y63" s="38">
        <v>1</v>
      </c>
      <c r="Z63" s="38">
        <v>1</v>
      </c>
      <c r="AA63" s="38">
        <v>1</v>
      </c>
      <c r="AB63" s="39"/>
      <c r="AC63" s="39"/>
    </row>
    <row r="65" spans="1:7">
      <c r="A65" s="44" t="s">
        <v>64</v>
      </c>
      <c r="B65" s="45"/>
      <c r="C65" s="45"/>
      <c r="D65" s="45"/>
      <c r="E65" s="45"/>
      <c r="F65" s="45"/>
      <c r="G65" s="45"/>
    </row>
  </sheetData>
  <autoFilter ref="A3:G63" xr:uid="{00000000-0001-0000-0100-000000000000}"/>
  <mergeCells count="6">
    <mergeCell ref="A1:AC1"/>
    <mergeCell ref="A2:G2"/>
    <mergeCell ref="H2:K2"/>
    <mergeCell ref="L2:AA2"/>
    <mergeCell ref="AB2:AC2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A4E5-7DD4-834E-BACA-1EE3BA0930D7}">
  <dimension ref="A1:C7"/>
  <sheetViews>
    <sheetView showGridLines="0" workbookViewId="0">
      <selection activeCell="F10" sqref="F10"/>
    </sheetView>
  </sheetViews>
  <sheetFormatPr baseColWidth="10" defaultColWidth="8.83203125" defaultRowHeight="15"/>
  <cols>
    <col min="1" max="1" width="22" style="23" customWidth="1"/>
    <col min="2" max="2" width="17.33203125" style="23" customWidth="1"/>
    <col min="3" max="3" width="15" style="23" customWidth="1"/>
    <col min="4" max="4" width="12" style="23" customWidth="1"/>
    <col min="5" max="5" width="38" style="23" customWidth="1"/>
    <col min="6" max="16384" width="8.83203125" style="23"/>
  </cols>
  <sheetData>
    <row r="1" spans="1:3" ht="22" customHeight="1">
      <c r="A1" t="s">
        <v>102</v>
      </c>
      <c r="B1" s="47">
        <v>555239.25</v>
      </c>
      <c r="C1" s="48">
        <v>0.21282406392261646</v>
      </c>
    </row>
    <row r="2" spans="1:3" ht="16">
      <c r="A2" t="s">
        <v>43</v>
      </c>
      <c r="B2" s="47">
        <v>775024.49</v>
      </c>
      <c r="C2" s="48">
        <v>0.29706808659754014</v>
      </c>
    </row>
    <row r="3" spans="1:3" ht="16" customHeight="1">
      <c r="A3" t="s">
        <v>93</v>
      </c>
      <c r="B3" s="47">
        <v>1278648.2400000005</v>
      </c>
      <c r="C3" s="48">
        <v>0.49010784947984343</v>
      </c>
    </row>
    <row r="4" spans="1:3" ht="16" customHeight="1">
      <c r="A4" t="s">
        <v>158</v>
      </c>
      <c r="B4" s="47">
        <v>75368.699999999721</v>
      </c>
      <c r="C4"/>
    </row>
    <row r="5" spans="1:3" ht="16" customHeight="1">
      <c r="A5" t="s">
        <v>159</v>
      </c>
      <c r="B5" s="47">
        <v>2684280.6800000002</v>
      </c>
      <c r="C5"/>
    </row>
    <row r="6" spans="1:3" ht="16" customHeight="1"/>
    <row r="7" spans="1:3" ht="16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2352-22FC-3542-B153-7FB026A359EF}">
  <dimension ref="A1:AJ13"/>
  <sheetViews>
    <sheetView topLeftCell="M1" zoomScale="130" zoomScaleNormal="130" workbookViewId="0">
      <selection activeCell="G13" sqref="G13"/>
    </sheetView>
  </sheetViews>
  <sheetFormatPr baseColWidth="10" defaultRowHeight="16"/>
  <cols>
    <col min="1" max="1" width="8.83203125"/>
    <col min="2" max="2" width="22" customWidth="1"/>
    <col min="3" max="3" width="4" customWidth="1"/>
    <col min="4" max="4" width="22" customWidth="1"/>
    <col min="5" max="5" width="5" customWidth="1"/>
    <col min="6" max="6" width="26" customWidth="1"/>
    <col min="7" max="7" width="30" customWidth="1"/>
    <col min="8" max="8" width="10" customWidth="1"/>
    <col min="9" max="30" width="5.1640625" customWidth="1"/>
    <col min="31" max="32" width="8" customWidth="1"/>
    <col min="33" max="33" width="17.83203125" customWidth="1"/>
    <col min="34" max="34" width="3" customWidth="1"/>
    <col min="35" max="36" width="12" customWidth="1"/>
  </cols>
  <sheetData>
    <row r="1" spans="1:36">
      <c r="B1" s="1"/>
      <c r="C1" s="1"/>
      <c r="D1" s="1"/>
      <c r="E1" s="1"/>
      <c r="F1" s="1"/>
      <c r="G1" s="1"/>
      <c r="H1" s="1"/>
      <c r="I1" s="2" t="s">
        <v>0</v>
      </c>
      <c r="J1" s="2"/>
      <c r="K1" s="2"/>
      <c r="L1" s="2"/>
      <c r="M1" s="3" t="s">
        <v>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 t="s">
        <v>2</v>
      </c>
      <c r="AD1" s="4"/>
      <c r="AI1" s="5"/>
      <c r="AJ1" s="5"/>
    </row>
    <row r="2" spans="1:36">
      <c r="A2" s="21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23</v>
      </c>
      <c r="U2" s="6" t="s">
        <v>24</v>
      </c>
      <c r="V2" s="6" t="s">
        <v>25</v>
      </c>
      <c r="W2" s="6" t="s">
        <v>26</v>
      </c>
      <c r="X2" s="6" t="s">
        <v>27</v>
      </c>
      <c r="Y2" s="6" t="s">
        <v>28</v>
      </c>
      <c r="Z2" s="6" t="s">
        <v>29</v>
      </c>
      <c r="AA2" s="6" t="s">
        <v>30</v>
      </c>
      <c r="AB2" s="6" t="s">
        <v>31</v>
      </c>
      <c r="AC2" s="6" t="s">
        <v>32</v>
      </c>
      <c r="AD2" s="6" t="s">
        <v>33</v>
      </c>
      <c r="AE2" s="6" t="s">
        <v>34</v>
      </c>
      <c r="AF2" s="6" t="s">
        <v>35</v>
      </c>
      <c r="AG2" s="6" t="s">
        <v>36</v>
      </c>
      <c r="AI2" s="6" t="s">
        <v>37</v>
      </c>
      <c r="AJ2" s="6" t="s">
        <v>38</v>
      </c>
    </row>
    <row r="3" spans="1:36">
      <c r="A3" s="20">
        <v>1</v>
      </c>
      <c r="B3" s="7" t="s">
        <v>39</v>
      </c>
      <c r="C3" s="8">
        <v>0</v>
      </c>
      <c r="D3" s="7" t="s">
        <v>40</v>
      </c>
      <c r="E3" s="7">
        <v>6</v>
      </c>
      <c r="F3" s="7" t="s">
        <v>41</v>
      </c>
      <c r="G3" s="9" t="s">
        <v>42</v>
      </c>
      <c r="H3" s="10">
        <v>1480.41</v>
      </c>
      <c r="I3" s="11">
        <v>0.2</v>
      </c>
      <c r="J3" s="11">
        <v>0.2</v>
      </c>
      <c r="K3" s="11">
        <v>0.2</v>
      </c>
      <c r="L3" s="11">
        <v>0.2</v>
      </c>
      <c r="M3" s="11">
        <v>0.2</v>
      </c>
      <c r="N3" s="11">
        <v>0.2</v>
      </c>
      <c r="O3" s="11">
        <v>0.2</v>
      </c>
      <c r="P3" s="11">
        <v>0.2</v>
      </c>
      <c r="Q3" s="11">
        <v>0.2</v>
      </c>
      <c r="R3" s="11">
        <v>0.2</v>
      </c>
      <c r="S3" s="11">
        <v>0.2</v>
      </c>
      <c r="T3" s="11">
        <v>0.2</v>
      </c>
      <c r="U3" s="11">
        <v>0.2</v>
      </c>
      <c r="V3" s="11">
        <v>0.2</v>
      </c>
      <c r="W3" s="11">
        <v>0.2</v>
      </c>
      <c r="X3" s="11">
        <v>0.2</v>
      </c>
      <c r="Y3" s="11">
        <v>0.2</v>
      </c>
      <c r="Z3" s="11">
        <v>0.2</v>
      </c>
      <c r="AA3" s="11">
        <v>0.2</v>
      </c>
      <c r="AB3" s="11">
        <v>0.2</v>
      </c>
      <c r="AC3" s="11">
        <v>0.2</v>
      </c>
      <c r="AD3" s="11">
        <v>0.2</v>
      </c>
      <c r="AE3" s="8">
        <f t="shared" ref="AE3:AE11" si="0">SUM(I3:AD3)</f>
        <v>4.4000000000000012</v>
      </c>
      <c r="AF3" s="8">
        <f>AE3*'[1]Planning Assumptions'!$B$2</f>
        <v>19.800000000000004</v>
      </c>
      <c r="AG3" s="19">
        <f t="shared" ref="AG3:AG11" si="1">AF3*H3</f>
        <v>29312.118000000009</v>
      </c>
      <c r="AI3" s="12">
        <v>1406.3895</v>
      </c>
      <c r="AJ3" s="12">
        <v>27846.512100000007</v>
      </c>
    </row>
    <row r="4" spans="1:36">
      <c r="A4" s="20">
        <v>5</v>
      </c>
      <c r="B4" s="7" t="s">
        <v>44</v>
      </c>
      <c r="C4" s="8">
        <v>2</v>
      </c>
      <c r="D4" s="7" t="s">
        <v>40</v>
      </c>
      <c r="E4" s="7">
        <v>5</v>
      </c>
      <c r="F4" s="7" t="s">
        <v>45</v>
      </c>
      <c r="G4" s="9" t="s">
        <v>46</v>
      </c>
      <c r="H4" s="10">
        <v>1480.41</v>
      </c>
      <c r="I4" s="13">
        <v>1</v>
      </c>
      <c r="J4" s="13">
        <v>1</v>
      </c>
      <c r="K4" s="13">
        <v>1</v>
      </c>
      <c r="L4" s="13">
        <v>1</v>
      </c>
      <c r="M4" s="13">
        <v>1</v>
      </c>
      <c r="N4" s="13">
        <v>1</v>
      </c>
      <c r="O4" s="13">
        <v>1</v>
      </c>
      <c r="P4" s="13">
        <v>1</v>
      </c>
      <c r="Q4" s="13">
        <v>1</v>
      </c>
      <c r="R4" s="13">
        <v>1</v>
      </c>
      <c r="S4" s="13">
        <v>1</v>
      </c>
      <c r="T4" s="13">
        <v>1</v>
      </c>
      <c r="U4" s="13">
        <v>1</v>
      </c>
      <c r="V4" s="13">
        <v>1</v>
      </c>
      <c r="W4" s="13">
        <v>1</v>
      </c>
      <c r="X4" s="13">
        <v>1</v>
      </c>
      <c r="Y4" s="13">
        <v>1</v>
      </c>
      <c r="Z4" s="13">
        <v>1</v>
      </c>
      <c r="AA4" s="13">
        <v>1</v>
      </c>
      <c r="AB4" s="13">
        <v>1</v>
      </c>
      <c r="AC4" s="13">
        <v>1</v>
      </c>
      <c r="AD4" s="13">
        <v>1</v>
      </c>
      <c r="AE4" s="8">
        <f t="shared" si="0"/>
        <v>22</v>
      </c>
      <c r="AF4" s="8">
        <f>AE4*'[1]Planning Assumptions'!$B$2</f>
        <v>99</v>
      </c>
      <c r="AG4" s="19">
        <f t="shared" si="1"/>
        <v>146560.59</v>
      </c>
      <c r="AI4" s="12">
        <v>1406.3895</v>
      </c>
      <c r="AJ4" s="12">
        <v>139232.56049999999</v>
      </c>
    </row>
    <row r="5" spans="1:36">
      <c r="A5" s="20">
        <v>8</v>
      </c>
      <c r="B5" s="7" t="s">
        <v>47</v>
      </c>
      <c r="C5" s="8">
        <v>2</v>
      </c>
      <c r="D5" s="7" t="s">
        <v>48</v>
      </c>
      <c r="E5" s="7">
        <v>6</v>
      </c>
      <c r="F5" s="7" t="s">
        <v>49</v>
      </c>
      <c r="G5" s="9" t="s">
        <v>50</v>
      </c>
      <c r="H5" s="10">
        <v>1430.84</v>
      </c>
      <c r="I5" s="13">
        <v>1</v>
      </c>
      <c r="J5" s="13">
        <v>1</v>
      </c>
      <c r="K5" s="13">
        <v>1</v>
      </c>
      <c r="L5" s="13">
        <v>1</v>
      </c>
      <c r="M5" s="13">
        <v>1</v>
      </c>
      <c r="N5" s="13">
        <v>1</v>
      </c>
      <c r="O5" s="13">
        <v>1</v>
      </c>
      <c r="P5" s="13">
        <v>1</v>
      </c>
      <c r="Q5" s="13">
        <v>1</v>
      </c>
      <c r="R5" s="13">
        <v>1</v>
      </c>
      <c r="S5" s="13">
        <v>1</v>
      </c>
      <c r="T5" s="13">
        <v>1</v>
      </c>
      <c r="U5" s="11">
        <v>0.4</v>
      </c>
      <c r="V5" s="11">
        <v>0.4</v>
      </c>
      <c r="W5" s="11">
        <v>0.4</v>
      </c>
      <c r="X5" s="11">
        <v>0.4</v>
      </c>
      <c r="Y5" s="11">
        <v>0.4</v>
      </c>
      <c r="Z5" s="11">
        <v>0.4</v>
      </c>
      <c r="AA5" s="11">
        <v>0.4</v>
      </c>
      <c r="AB5" s="11">
        <v>0.4</v>
      </c>
      <c r="AC5" s="11">
        <v>0.4</v>
      </c>
      <c r="AD5" s="11">
        <v>0.4</v>
      </c>
      <c r="AE5" s="8">
        <f t="shared" si="0"/>
        <v>16.000000000000004</v>
      </c>
      <c r="AF5" s="8">
        <f>AE5*'[1]Planning Assumptions'!$B$2</f>
        <v>72.000000000000014</v>
      </c>
      <c r="AG5" s="19">
        <f t="shared" si="1"/>
        <v>103020.48000000001</v>
      </c>
      <c r="AI5" s="12">
        <v>1359.2979999999998</v>
      </c>
      <c r="AJ5" s="12">
        <v>97869.456000000006</v>
      </c>
    </row>
    <row r="6" spans="1:36">
      <c r="A6" s="20">
        <v>9</v>
      </c>
      <c r="B6" s="7" t="s">
        <v>51</v>
      </c>
      <c r="C6" s="8">
        <v>4</v>
      </c>
      <c r="D6" s="7" t="s">
        <v>40</v>
      </c>
      <c r="E6" s="7">
        <v>4</v>
      </c>
      <c r="F6" s="7" t="s">
        <v>49</v>
      </c>
      <c r="G6" s="9" t="s">
        <v>52</v>
      </c>
      <c r="H6" s="10">
        <v>1480.41</v>
      </c>
      <c r="I6" s="13">
        <v>1</v>
      </c>
      <c r="J6" s="13">
        <v>1</v>
      </c>
      <c r="K6" s="13">
        <v>1</v>
      </c>
      <c r="L6" s="13">
        <v>1</v>
      </c>
      <c r="M6" s="13">
        <v>1</v>
      </c>
      <c r="N6" s="13">
        <v>1</v>
      </c>
      <c r="O6" s="13">
        <v>1</v>
      </c>
      <c r="P6" s="13">
        <v>1</v>
      </c>
      <c r="Q6" s="13">
        <v>1</v>
      </c>
      <c r="R6" s="13">
        <v>1</v>
      </c>
      <c r="S6" s="13">
        <v>1</v>
      </c>
      <c r="T6" s="13">
        <v>1</v>
      </c>
      <c r="U6" s="14"/>
      <c r="V6" s="14"/>
      <c r="W6" s="14"/>
      <c r="X6" s="14"/>
      <c r="Y6" s="14"/>
      <c r="Z6" s="14"/>
      <c r="AA6" s="14"/>
      <c r="AB6" s="14"/>
      <c r="AC6" s="14"/>
      <c r="AD6" s="14"/>
      <c r="AE6" s="8">
        <f t="shared" si="0"/>
        <v>12</v>
      </c>
      <c r="AF6" s="8">
        <f>AE6*'[1]Planning Assumptions'!$B$2</f>
        <v>54</v>
      </c>
      <c r="AG6" s="19">
        <f t="shared" si="1"/>
        <v>79942.14</v>
      </c>
      <c r="AI6" s="12">
        <v>1406.3895</v>
      </c>
      <c r="AJ6" s="12">
        <v>75945.032999999996</v>
      </c>
    </row>
    <row r="7" spans="1:36">
      <c r="A7" s="20">
        <v>10</v>
      </c>
      <c r="B7" s="7" t="s">
        <v>53</v>
      </c>
      <c r="C7" s="8">
        <v>4</v>
      </c>
      <c r="D7" s="7" t="s">
        <v>54</v>
      </c>
      <c r="E7" s="7">
        <v>4</v>
      </c>
      <c r="F7" s="7" t="s">
        <v>49</v>
      </c>
      <c r="G7" s="9" t="s">
        <v>52</v>
      </c>
      <c r="H7" s="10">
        <v>1210.52</v>
      </c>
      <c r="I7" s="13">
        <v>1</v>
      </c>
      <c r="J7" s="13">
        <v>1</v>
      </c>
      <c r="K7" s="13">
        <v>1</v>
      </c>
      <c r="L7" s="13">
        <v>1</v>
      </c>
      <c r="M7" s="13">
        <v>1</v>
      </c>
      <c r="N7" s="13">
        <v>1</v>
      </c>
      <c r="O7" s="13">
        <v>1</v>
      </c>
      <c r="P7" s="13">
        <v>1</v>
      </c>
      <c r="Q7" s="13">
        <v>1</v>
      </c>
      <c r="R7" s="13">
        <v>1</v>
      </c>
      <c r="S7" s="13">
        <v>1</v>
      </c>
      <c r="T7" s="13">
        <v>1</v>
      </c>
      <c r="U7" s="14"/>
      <c r="V7" s="14"/>
      <c r="W7" s="14"/>
      <c r="X7" s="14"/>
      <c r="Y7" s="14"/>
      <c r="Z7" s="14"/>
      <c r="AA7" s="14"/>
      <c r="AB7" s="14"/>
      <c r="AC7" s="14"/>
      <c r="AD7" s="14"/>
      <c r="AE7" s="8">
        <f t="shared" si="0"/>
        <v>12</v>
      </c>
      <c r="AF7" s="8">
        <f>AE7*'[1]Planning Assumptions'!$B$2</f>
        <v>54</v>
      </c>
      <c r="AG7" s="19">
        <f t="shared" si="1"/>
        <v>65368.08</v>
      </c>
      <c r="AI7" s="12">
        <v>1149.9939999999999</v>
      </c>
      <c r="AJ7" s="12">
        <v>62099.675999999992</v>
      </c>
    </row>
    <row r="8" spans="1:36">
      <c r="A8" s="20">
        <v>17</v>
      </c>
      <c r="B8" s="7" t="s">
        <v>55</v>
      </c>
      <c r="C8" s="8">
        <v>2</v>
      </c>
      <c r="D8" s="7" t="s">
        <v>48</v>
      </c>
      <c r="E8" s="7">
        <v>6</v>
      </c>
      <c r="F8" s="7" t="s">
        <v>56</v>
      </c>
      <c r="G8" s="9" t="s">
        <v>57</v>
      </c>
      <c r="H8" s="10">
        <v>1430.84</v>
      </c>
      <c r="I8" s="13">
        <v>1</v>
      </c>
      <c r="J8" s="13">
        <v>1</v>
      </c>
      <c r="K8" s="13">
        <v>1</v>
      </c>
      <c r="L8" s="13">
        <v>1</v>
      </c>
      <c r="M8" s="13">
        <v>1</v>
      </c>
      <c r="N8" s="13">
        <v>1</v>
      </c>
      <c r="O8" s="13">
        <v>1</v>
      </c>
      <c r="P8" s="13">
        <v>1</v>
      </c>
      <c r="Q8" s="13">
        <v>1</v>
      </c>
      <c r="R8" s="13">
        <v>1</v>
      </c>
      <c r="S8" s="13">
        <v>1</v>
      </c>
      <c r="T8" s="13">
        <v>1</v>
      </c>
      <c r="U8" s="14"/>
      <c r="V8" s="14"/>
      <c r="W8" s="14"/>
      <c r="X8" s="14"/>
      <c r="Y8" s="14"/>
      <c r="Z8" s="14"/>
      <c r="AA8" s="14"/>
      <c r="AB8" s="14"/>
      <c r="AC8" s="14"/>
      <c r="AD8" s="14"/>
      <c r="AE8" s="8">
        <f t="shared" si="0"/>
        <v>12</v>
      </c>
      <c r="AF8" s="8">
        <f>AE8*'[1]Planning Assumptions'!$B$2</f>
        <v>54</v>
      </c>
      <c r="AG8" s="19">
        <f t="shared" si="1"/>
        <v>77265.36</v>
      </c>
      <c r="AI8" s="12">
        <v>1359.2979999999998</v>
      </c>
      <c r="AJ8" s="12">
        <v>73402.09199999999</v>
      </c>
    </row>
    <row r="9" spans="1:36">
      <c r="A9" s="20">
        <v>18</v>
      </c>
      <c r="B9" s="7" t="s">
        <v>58</v>
      </c>
      <c r="C9" s="8">
        <v>3</v>
      </c>
      <c r="D9" s="7" t="s">
        <v>54</v>
      </c>
      <c r="E9" s="7">
        <v>4</v>
      </c>
      <c r="F9" s="7" t="s">
        <v>56</v>
      </c>
      <c r="G9" s="9" t="s">
        <v>57</v>
      </c>
      <c r="H9" s="10">
        <v>1210.52</v>
      </c>
      <c r="I9" s="13">
        <v>1</v>
      </c>
      <c r="J9" s="13">
        <v>1</v>
      </c>
      <c r="K9" s="13">
        <v>1</v>
      </c>
      <c r="L9" s="13">
        <v>1</v>
      </c>
      <c r="M9" s="13">
        <v>1</v>
      </c>
      <c r="N9" s="13">
        <v>1</v>
      </c>
      <c r="O9" s="13">
        <v>1</v>
      </c>
      <c r="P9" s="13">
        <v>1</v>
      </c>
      <c r="Q9" s="13">
        <v>1</v>
      </c>
      <c r="R9" s="13">
        <v>1</v>
      </c>
      <c r="S9" s="13">
        <v>1</v>
      </c>
      <c r="T9" s="13">
        <v>1</v>
      </c>
      <c r="U9" s="14"/>
      <c r="V9" s="14"/>
      <c r="W9" s="14"/>
      <c r="X9" s="14"/>
      <c r="Y9" s="14"/>
      <c r="Z9" s="14"/>
      <c r="AA9" s="14"/>
      <c r="AB9" s="14"/>
      <c r="AC9" s="14"/>
      <c r="AD9" s="14"/>
      <c r="AE9" s="8">
        <f t="shared" si="0"/>
        <v>12</v>
      </c>
      <c r="AF9" s="8">
        <f>AE9*'[1]Planning Assumptions'!$B$2</f>
        <v>54</v>
      </c>
      <c r="AG9" s="19">
        <f t="shared" si="1"/>
        <v>65368.08</v>
      </c>
      <c r="AI9" s="12">
        <v>1149.9939999999999</v>
      </c>
      <c r="AJ9" s="12">
        <v>62099.675999999992</v>
      </c>
    </row>
    <row r="10" spans="1:36">
      <c r="A10" s="20">
        <v>31</v>
      </c>
      <c r="B10" s="7" t="s">
        <v>59</v>
      </c>
      <c r="C10" s="8">
        <v>2</v>
      </c>
      <c r="D10" s="7" t="s">
        <v>48</v>
      </c>
      <c r="E10" s="7">
        <v>6</v>
      </c>
      <c r="F10" s="7"/>
      <c r="G10" s="9" t="s">
        <v>60</v>
      </c>
      <c r="H10" s="10">
        <v>1430.84</v>
      </c>
      <c r="I10" s="14"/>
      <c r="J10" s="14"/>
      <c r="K10" s="14"/>
      <c r="L10" s="14"/>
      <c r="M10" s="13">
        <v>1</v>
      </c>
      <c r="N10" s="13">
        <v>1</v>
      </c>
      <c r="O10" s="13">
        <v>1</v>
      </c>
      <c r="P10" s="13">
        <v>1</v>
      </c>
      <c r="Q10" s="13">
        <v>1</v>
      </c>
      <c r="R10" s="13">
        <v>1</v>
      </c>
      <c r="S10" s="13">
        <v>1</v>
      </c>
      <c r="T10" s="13">
        <v>1</v>
      </c>
      <c r="U10" s="13">
        <v>1</v>
      </c>
      <c r="V10" s="13">
        <v>1</v>
      </c>
      <c r="W10" s="13">
        <v>1</v>
      </c>
      <c r="X10" s="13">
        <v>1</v>
      </c>
      <c r="Y10" s="13">
        <v>1</v>
      </c>
      <c r="Z10" s="13">
        <v>1</v>
      </c>
      <c r="AA10" s="13">
        <v>1</v>
      </c>
      <c r="AB10" s="13">
        <v>1</v>
      </c>
      <c r="AC10" s="13">
        <v>1</v>
      </c>
      <c r="AD10" s="13">
        <v>1</v>
      </c>
      <c r="AE10" s="8">
        <f t="shared" si="0"/>
        <v>18</v>
      </c>
      <c r="AF10" s="8">
        <f>AE10*'[1]Planning Assumptions'!$B$2</f>
        <v>81</v>
      </c>
      <c r="AG10" s="19">
        <f t="shared" si="1"/>
        <v>115898.04</v>
      </c>
      <c r="AI10" s="12">
        <v>1359.2979999999998</v>
      </c>
      <c r="AJ10" s="12">
        <v>110103.13799999998</v>
      </c>
    </row>
    <row r="11" spans="1:36">
      <c r="A11" s="20">
        <v>33</v>
      </c>
      <c r="B11" s="7" t="s">
        <v>61</v>
      </c>
      <c r="C11" s="8">
        <v>2</v>
      </c>
      <c r="D11" s="7" t="s">
        <v>62</v>
      </c>
      <c r="E11" s="7">
        <v>5</v>
      </c>
      <c r="F11" s="7" t="s">
        <v>63</v>
      </c>
      <c r="G11" s="9" t="s">
        <v>60</v>
      </c>
      <c r="H11" s="10">
        <v>1281.8</v>
      </c>
      <c r="I11" s="14"/>
      <c r="J11" s="14"/>
      <c r="K11" s="14"/>
      <c r="L11" s="14"/>
      <c r="M11" s="13">
        <v>1</v>
      </c>
      <c r="N11" s="13">
        <v>1</v>
      </c>
      <c r="O11" s="13">
        <v>1</v>
      </c>
      <c r="P11" s="13">
        <v>1</v>
      </c>
      <c r="Q11" s="13">
        <v>1</v>
      </c>
      <c r="R11" s="13">
        <v>1</v>
      </c>
      <c r="S11" s="13">
        <v>1</v>
      </c>
      <c r="T11" s="13">
        <v>1</v>
      </c>
      <c r="U11" s="13">
        <v>1</v>
      </c>
      <c r="V11" s="13">
        <v>1</v>
      </c>
      <c r="W11" s="13">
        <v>1</v>
      </c>
      <c r="X11" s="13">
        <v>1</v>
      </c>
      <c r="Y11" s="13">
        <v>1</v>
      </c>
      <c r="Z11" s="13">
        <v>1</v>
      </c>
      <c r="AA11" s="13">
        <v>1</v>
      </c>
      <c r="AB11" s="13">
        <v>1</v>
      </c>
      <c r="AC11" s="14"/>
      <c r="AD11" s="14"/>
      <c r="AE11" s="8">
        <f t="shared" si="0"/>
        <v>16</v>
      </c>
      <c r="AF11" s="8">
        <f>AE11*'[1]Planning Assumptions'!$B$2</f>
        <v>72</v>
      </c>
      <c r="AG11" s="19">
        <f t="shared" si="1"/>
        <v>92289.599999999991</v>
      </c>
      <c r="AI11" s="12">
        <v>1217.7099999999998</v>
      </c>
      <c r="AJ11" s="12">
        <v>87675.119999999981</v>
      </c>
    </row>
    <row r="13" spans="1:36">
      <c r="B13" s="15" t="s">
        <v>64</v>
      </c>
      <c r="C13" s="16"/>
      <c r="D13" s="16"/>
      <c r="E13" s="16"/>
      <c r="F13" s="16"/>
      <c r="G13" s="16"/>
      <c r="H13" s="16"/>
      <c r="AF13" s="17">
        <f>SUM(AF3:AF12)</f>
        <v>559.79999999999995</v>
      </c>
      <c r="AG13" s="18">
        <f>SUM(AG3:AG12)</f>
        <v>775024.48800000001</v>
      </c>
      <c r="AJ13" s="18">
        <f>SUM(AJ3:AJ12)</f>
        <v>736273.26360000006</v>
      </c>
    </row>
  </sheetData>
  <mergeCells count="5">
    <mergeCell ref="B1:H1"/>
    <mergeCell ref="I1:L1"/>
    <mergeCell ref="M1:AB1"/>
    <mergeCell ref="AC1:AD1"/>
    <mergeCell ref="AI1:A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D5CE6-3C48-9243-80F9-787B1ABB07DF}">
  <dimension ref="A1:G12"/>
  <sheetViews>
    <sheetView tabSelected="1" workbookViewId="0">
      <selection activeCell="F28" sqref="F28"/>
    </sheetView>
  </sheetViews>
  <sheetFormatPr baseColWidth="10" defaultRowHeight="16"/>
  <cols>
    <col min="1" max="2" width="22" customWidth="1"/>
    <col min="3" max="3" width="5" customWidth="1"/>
    <col min="4" max="4" width="30" customWidth="1"/>
    <col min="5" max="5" width="8" customWidth="1"/>
    <col min="6" max="7" width="12" customWidth="1"/>
  </cols>
  <sheetData>
    <row r="1" spans="1:7">
      <c r="A1" s="6" t="s">
        <v>4</v>
      </c>
      <c r="B1" s="6" t="s">
        <v>6</v>
      </c>
      <c r="C1" s="6" t="s">
        <v>7</v>
      </c>
      <c r="D1" s="6" t="s">
        <v>9</v>
      </c>
      <c r="E1" s="6" t="s">
        <v>35</v>
      </c>
      <c r="F1" s="6" t="s">
        <v>37</v>
      </c>
      <c r="G1" s="6" t="s">
        <v>38</v>
      </c>
    </row>
    <row r="2" spans="1:7">
      <c r="A2" s="7" t="s">
        <v>39</v>
      </c>
      <c r="B2" s="7" t="s">
        <v>40</v>
      </c>
      <c r="C2" s="7">
        <v>6</v>
      </c>
      <c r="D2" s="9" t="s">
        <v>42</v>
      </c>
      <c r="E2" s="8">
        <v>19.800000000000004</v>
      </c>
      <c r="F2" s="12">
        <v>1406.3895</v>
      </c>
      <c r="G2" s="12">
        <v>27846.512100000007</v>
      </c>
    </row>
    <row r="3" spans="1:7">
      <c r="A3" s="7" t="s">
        <v>44</v>
      </c>
      <c r="B3" s="7" t="s">
        <v>40</v>
      </c>
      <c r="C3" s="7">
        <v>5</v>
      </c>
      <c r="D3" s="9" t="s">
        <v>46</v>
      </c>
      <c r="E3" s="8">
        <v>99</v>
      </c>
      <c r="F3" s="12">
        <v>1406.3895</v>
      </c>
      <c r="G3" s="12">
        <v>139232.56049999999</v>
      </c>
    </row>
    <row r="4" spans="1:7">
      <c r="A4" s="7" t="s">
        <v>47</v>
      </c>
      <c r="B4" s="7" t="s">
        <v>48</v>
      </c>
      <c r="C4" s="7">
        <v>6</v>
      </c>
      <c r="D4" s="9" t="s">
        <v>50</v>
      </c>
      <c r="E4" s="8">
        <v>72.000000000000014</v>
      </c>
      <c r="F4" s="12">
        <v>1359.2979999999998</v>
      </c>
      <c r="G4" s="12">
        <v>97869.456000000006</v>
      </c>
    </row>
    <row r="5" spans="1:7">
      <c r="A5" s="7" t="s">
        <v>51</v>
      </c>
      <c r="B5" s="7" t="s">
        <v>40</v>
      </c>
      <c r="C5" s="7">
        <v>4</v>
      </c>
      <c r="D5" s="9" t="s">
        <v>52</v>
      </c>
      <c r="E5" s="8">
        <v>54</v>
      </c>
      <c r="F5" s="12">
        <v>1406.3895</v>
      </c>
      <c r="G5" s="12">
        <v>75945.032999999996</v>
      </c>
    </row>
    <row r="6" spans="1:7">
      <c r="A6" s="7" t="s">
        <v>53</v>
      </c>
      <c r="B6" s="7" t="s">
        <v>54</v>
      </c>
      <c r="C6" s="7">
        <v>4</v>
      </c>
      <c r="D6" s="9" t="s">
        <v>52</v>
      </c>
      <c r="E6" s="8">
        <v>54</v>
      </c>
      <c r="F6" s="12">
        <v>1149.9939999999999</v>
      </c>
      <c r="G6" s="12">
        <v>62099.675999999992</v>
      </c>
    </row>
    <row r="7" spans="1:7">
      <c r="A7" s="7" t="s">
        <v>55</v>
      </c>
      <c r="B7" s="7" t="s">
        <v>48</v>
      </c>
      <c r="C7" s="7">
        <v>6</v>
      </c>
      <c r="D7" s="9" t="s">
        <v>57</v>
      </c>
      <c r="E7" s="8">
        <v>54</v>
      </c>
      <c r="F7" s="12">
        <v>1359.2979999999998</v>
      </c>
      <c r="G7" s="12">
        <v>73402.09199999999</v>
      </c>
    </row>
    <row r="8" spans="1:7">
      <c r="A8" s="7" t="s">
        <v>58</v>
      </c>
      <c r="B8" s="7" t="s">
        <v>54</v>
      </c>
      <c r="C8" s="7">
        <v>4</v>
      </c>
      <c r="D8" s="9" t="s">
        <v>57</v>
      </c>
      <c r="E8" s="8">
        <v>54</v>
      </c>
      <c r="F8" s="12">
        <v>1149.9939999999999</v>
      </c>
      <c r="G8" s="12">
        <v>62099.675999999992</v>
      </c>
    </row>
    <row r="9" spans="1:7">
      <c r="A9" s="7" t="s">
        <v>59</v>
      </c>
      <c r="B9" s="7" t="s">
        <v>48</v>
      </c>
      <c r="C9" s="7">
        <v>6</v>
      </c>
      <c r="D9" s="9" t="s">
        <v>60</v>
      </c>
      <c r="E9" s="8">
        <v>81</v>
      </c>
      <c r="F9" s="12">
        <v>1359.2979999999998</v>
      </c>
      <c r="G9" s="12">
        <v>110103.13799999998</v>
      </c>
    </row>
    <row r="10" spans="1:7">
      <c r="A10" s="7" t="s">
        <v>61</v>
      </c>
      <c r="B10" s="7" t="s">
        <v>62</v>
      </c>
      <c r="C10" s="7">
        <v>5</v>
      </c>
      <c r="D10" s="9" t="s">
        <v>60</v>
      </c>
      <c r="E10" s="8">
        <v>72</v>
      </c>
      <c r="F10" s="12">
        <v>1217.7099999999998</v>
      </c>
      <c r="G10" s="12">
        <v>87675.119999999981</v>
      </c>
    </row>
    <row r="12" spans="1:7">
      <c r="A12" s="15" t="s">
        <v>64</v>
      </c>
      <c r="B12" s="16"/>
      <c r="C12" s="16"/>
      <c r="D12" s="16"/>
      <c r="E12" s="17">
        <f>SUM(E2:E11)</f>
        <v>559.79999999999995</v>
      </c>
      <c r="G12" s="18">
        <f>SUM(G2:G11)</f>
        <v>736273.26360000006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</vt:lpstr>
      <vt:lpstr>Workshare</vt:lpstr>
      <vt:lpstr>QB Profile</vt:lpstr>
      <vt:lpstr>Order Form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Walker</dc:creator>
  <cp:lastModifiedBy>Stephen Walker</cp:lastModifiedBy>
  <dcterms:created xsi:type="dcterms:W3CDTF">2026-07-30T14:57:46Z</dcterms:created>
  <dcterms:modified xsi:type="dcterms:W3CDTF">2026-07-31T09:46:36Z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0c71ed-4ee5-480b-9a88-4bf5e868adf9_Enabled">
    <vt:lpwstr>true</vt:lpwstr>
  </property>
  <property fmtid="{D5CDD505-2E9C-101B-9397-08002B2CF9AE}" pid="3" name="MSIP_Label_f70c71ed-4ee5-480b-9a88-4bf5e868adf9_SetDate">
    <vt:lpwstr>2026-07-30T15:14:30Z</vt:lpwstr>
  </property>
  <property fmtid="{D5CDD505-2E9C-101B-9397-08002B2CF9AE}" pid="4" name="MSIP_Label_f70c71ed-4ee5-480b-9a88-4bf5e868adf9_Method">
    <vt:lpwstr>Privileged</vt:lpwstr>
  </property>
  <property fmtid="{D5CDD505-2E9C-101B-9397-08002B2CF9AE}" pid="5" name="MSIP_Label_f70c71ed-4ee5-480b-9a88-4bf5e868adf9_Name">
    <vt:lpwstr>Company Restricted</vt:lpwstr>
  </property>
  <property fmtid="{D5CDD505-2E9C-101B-9397-08002B2CF9AE}" pid="6" name="MSIP_Label_f70c71ed-4ee5-480b-9a88-4bf5e868adf9_SiteId">
    <vt:lpwstr>7ed9bdc7-964d-4dc0-9084-812b90e05c6d</vt:lpwstr>
  </property>
  <property fmtid="{D5CDD505-2E9C-101B-9397-08002B2CF9AE}" pid="7" name="MSIP_Label_f70c71ed-4ee5-480b-9a88-4bf5e868adf9_ActionId">
    <vt:lpwstr>a80158d0-6681-4d92-80a3-58a79995092e</vt:lpwstr>
  </property>
  <property fmtid="{D5CDD505-2E9C-101B-9397-08002B2CF9AE}" pid="8" name="MSIP_Label_f70c71ed-4ee5-480b-9a88-4bf5e868adf9_ContentBits">
    <vt:lpwstr>0</vt:lpwstr>
  </property>
  <property fmtid="{D5CDD505-2E9C-101B-9397-08002B2CF9AE}" pid="9" name="MSIP_Label_f70c71ed-4ee5-480b-9a88-4bf5e868adf9_Tag">
    <vt:lpwstr>50, 0, 1, 1</vt:lpwstr>
  </property>
</Properties>
</file>